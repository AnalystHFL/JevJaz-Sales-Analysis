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1.xml" ContentType="application/vnd.openxmlformats-officedocument.spreadsheetml.pivot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evJaz\"/>
    </mc:Choice>
  </mc:AlternateContent>
  <xr:revisionPtr revIDLastSave="0" documentId="13_ncr:1_{FE003051-952A-4005-B9D3-569B3F138175}" xr6:coauthVersionLast="47" xr6:coauthVersionMax="47" xr10:uidLastSave="{00000000-0000-0000-0000-000000000000}"/>
  <bookViews>
    <workbookView xWindow="-108" yWindow="-108" windowWidth="23256" windowHeight="12456" activeTab="4" xr2:uid="{35C95FEF-4CBD-45CD-8F35-7FBB2721D5E5}"/>
  </bookViews>
  <sheets>
    <sheet name="Sheet1" sheetId="1" r:id="rId1"/>
    <sheet name="Sheet2" sheetId="2" r:id="rId2"/>
    <sheet name="Sheet14" sheetId="14" r:id="rId3"/>
    <sheet name="Analysis" sheetId="3" r:id="rId4"/>
    <sheet name="Explanatory Dashboard" sheetId="7" r:id="rId5"/>
  </sheets>
  <definedNames>
    <definedName name="_xlnm.Print_Area" localSheetId="4">'Explanatory Dashboard'!$A$1:$X$52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  <pivotCache cacheId="7" r:id="rId13"/>
    <pivotCache cacheId="8" r:id="rId14"/>
    <pivotCache cacheId="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21" i="3" l="1"/>
  <c r="AN31" i="3"/>
  <c r="AL31" i="3"/>
  <c r="AK32" i="3"/>
  <c r="AJ32" i="3"/>
  <c r="AI32" i="3"/>
  <c r="G21" i="2"/>
  <c r="C135" i="2"/>
  <c r="D217" i="1"/>
  <c r="T112" i="2"/>
  <c r="T128" i="2"/>
  <c r="X18" i="2"/>
  <c r="G2" i="1"/>
  <c r="G2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U112" i="2" l="1"/>
</calcChain>
</file>

<file path=xl/sharedStrings.xml><?xml version="1.0" encoding="utf-8"?>
<sst xmlns="http://schemas.openxmlformats.org/spreadsheetml/2006/main" count="1559" uniqueCount="464">
  <si>
    <t>Colour</t>
  </si>
  <si>
    <t>Wine</t>
  </si>
  <si>
    <t>Brown</t>
  </si>
  <si>
    <t xml:space="preserve">Product Name </t>
  </si>
  <si>
    <t>(SKU)</t>
  </si>
  <si>
    <t xml:space="preserve">Ruffle Mono Sleeve </t>
  </si>
  <si>
    <t>(JJ24324)</t>
  </si>
  <si>
    <t>Pink Fur Top</t>
  </si>
  <si>
    <t>(JJ84444)</t>
  </si>
  <si>
    <t>Magenta Ruffle Dress</t>
  </si>
  <si>
    <t>(JJ57618)</t>
  </si>
  <si>
    <t>Hello Kitty Romper</t>
  </si>
  <si>
    <t>(JJ13854)</t>
  </si>
  <si>
    <t>Pink</t>
  </si>
  <si>
    <t>Yellow</t>
  </si>
  <si>
    <t>Magenta</t>
  </si>
  <si>
    <t>Multi-colour 2 Tone Dress</t>
  </si>
  <si>
    <t>(JJ66515)</t>
  </si>
  <si>
    <t>Sky-Blue</t>
  </si>
  <si>
    <t>Multi-colour 3 Tone Dress with Puff</t>
  </si>
  <si>
    <t>(JJ27522)</t>
  </si>
  <si>
    <t>Cape Dress with Flowers</t>
  </si>
  <si>
    <t>(JJ87788)</t>
  </si>
  <si>
    <t>Fur &amp; Tulle Dress</t>
  </si>
  <si>
    <t>(JJ67336)</t>
  </si>
  <si>
    <t>Quantity Sold</t>
  </si>
  <si>
    <t>Shinny Dress with Bag</t>
  </si>
  <si>
    <t>(JJ64756)</t>
  </si>
  <si>
    <t>Blue</t>
  </si>
  <si>
    <t>Shinny Dress with Slant</t>
  </si>
  <si>
    <t>(JJ98162)</t>
  </si>
  <si>
    <t>Skyblue</t>
  </si>
  <si>
    <t>Baby Dress with Roses</t>
  </si>
  <si>
    <t>(JJ32199)</t>
  </si>
  <si>
    <t>Navy Blue</t>
  </si>
  <si>
    <t>Micky Mouse Mono Sleeve with Side Bow</t>
  </si>
  <si>
    <t>(JJ12733)</t>
  </si>
  <si>
    <t xml:space="preserve">Baby Pink </t>
  </si>
  <si>
    <t>White</t>
  </si>
  <si>
    <t>Lilac</t>
  </si>
  <si>
    <t>Mint</t>
  </si>
  <si>
    <t>Check Dress with White Collar</t>
  </si>
  <si>
    <t>(JJ31656)</t>
  </si>
  <si>
    <t>Purple</t>
  </si>
  <si>
    <t>Half Fruity Crop Short</t>
  </si>
  <si>
    <t>(JJ15744)</t>
  </si>
  <si>
    <t>Organza Bow Top</t>
  </si>
  <si>
    <t>(JJ53582)</t>
  </si>
  <si>
    <t>Peach</t>
  </si>
  <si>
    <t>Cape Sleeve with Pleated Fabric &amp; Sequence Band</t>
  </si>
  <si>
    <t>(JJ35789)</t>
  </si>
  <si>
    <t>Rose Pleated Top</t>
  </si>
  <si>
    <t>(JJ39741)</t>
  </si>
  <si>
    <t>2pcs Top &amp; Jacket "Peace Love Happinesss"</t>
  </si>
  <si>
    <t>(JJ44914)</t>
  </si>
  <si>
    <t>2pcs Brown &amp; White Short and Top</t>
  </si>
  <si>
    <t>(JJ59156)</t>
  </si>
  <si>
    <t>(8yrs,2yrs)</t>
  </si>
  <si>
    <t>(8yrs)</t>
  </si>
  <si>
    <t>(2yrs,6yrs,8yrs)</t>
  </si>
  <si>
    <t>(5yrs)</t>
  </si>
  <si>
    <t>(7yrs)</t>
  </si>
  <si>
    <t>(5yrs,8yrs)</t>
  </si>
  <si>
    <t>(7yrs,9yrs,10yrs)</t>
  </si>
  <si>
    <t>(6yrs,8yrs)</t>
  </si>
  <si>
    <t>(6yrs,7yrs)</t>
  </si>
  <si>
    <t>(7yrs,8yrs)</t>
  </si>
  <si>
    <t>2pcs Black &amp; Multi-coloured Short and Shirt</t>
  </si>
  <si>
    <t>(JJ94732)</t>
  </si>
  <si>
    <t>(2yrs,3yrs)</t>
  </si>
  <si>
    <t>(14-15yrs, 10-11yrs)</t>
  </si>
  <si>
    <t>2pcs Army &amp; White Short and Shirt</t>
  </si>
  <si>
    <t>(JJ76479)</t>
  </si>
  <si>
    <t>(5yrs,10yrs)</t>
  </si>
  <si>
    <t>2pcs 3 Tone Gold &amp; Brown Short and Shirt</t>
  </si>
  <si>
    <t>(JJ27286)</t>
  </si>
  <si>
    <t>(JJ44498)</t>
  </si>
  <si>
    <t>2pcs Blue Multicoloured Short and Shirt</t>
  </si>
  <si>
    <t>(JJ34993)</t>
  </si>
  <si>
    <t>2pcs Sky-blue &amp; White Short and Shirt</t>
  </si>
  <si>
    <t>(18yrs,16yrs,14yrs,10yrs)</t>
  </si>
  <si>
    <t>2pcs Mint Multicoloured Shirt and Short</t>
  </si>
  <si>
    <t>(JJ11881)</t>
  </si>
  <si>
    <t>(10yrs,8yrs,6yrs,5yrs)</t>
  </si>
  <si>
    <t>2pcs Black &amp; White Shirt and Short</t>
  </si>
  <si>
    <t>(JJ11716)</t>
  </si>
  <si>
    <t>(3-4yrs)</t>
  </si>
  <si>
    <t>2pcs Sweat Shirt and Joggers</t>
  </si>
  <si>
    <t>(JJ25884)</t>
  </si>
  <si>
    <t xml:space="preserve">Navy  </t>
  </si>
  <si>
    <t>(3yrs,4yrs)</t>
  </si>
  <si>
    <t>2pcs Naruto Jacket &amp; T-shirt</t>
  </si>
  <si>
    <t>(JJ57172)</t>
  </si>
  <si>
    <t>(5yrs,7yrs,10yrs,11yr)</t>
  </si>
  <si>
    <t xml:space="preserve">Green </t>
  </si>
  <si>
    <t>2pcs Wine Jacket &amp; White T-shirt</t>
  </si>
  <si>
    <t>(JJ96645)</t>
  </si>
  <si>
    <t>(8yrs,7yrs,3yrs)</t>
  </si>
  <si>
    <t>(10yrs)</t>
  </si>
  <si>
    <t>2pcs Black Jacket &amp; White T-shirt</t>
  </si>
  <si>
    <t>(5yrs,6yrs,8yrs,9yrs,11yrs)</t>
  </si>
  <si>
    <t>2pcs YouGotMeThinking T-shirt and Short</t>
  </si>
  <si>
    <t>(JJ57313)</t>
  </si>
  <si>
    <t>Coal</t>
  </si>
  <si>
    <t>Black</t>
  </si>
  <si>
    <t>Grey</t>
  </si>
  <si>
    <t>2pcs Bunny Denim Dungarees</t>
  </si>
  <si>
    <t>(JJ22252)</t>
  </si>
  <si>
    <t>(1yr)</t>
  </si>
  <si>
    <t>2pcs White Butterfly Top &amp; Short</t>
  </si>
  <si>
    <t>(JJ29857)</t>
  </si>
  <si>
    <t>LemonGreen</t>
  </si>
  <si>
    <t>(11yrs,11yrs)</t>
  </si>
  <si>
    <t>2pcs Plain &amp; Pattern</t>
  </si>
  <si>
    <t>(JJ81648)</t>
  </si>
  <si>
    <t>(11yrs)</t>
  </si>
  <si>
    <t>(JJ16334)</t>
  </si>
  <si>
    <t>2pcs Flora Dress with Bag</t>
  </si>
  <si>
    <t>(JJ47733)</t>
  </si>
  <si>
    <t>(5yrs,9yrs)</t>
  </si>
  <si>
    <t>2pcs Denim Jacket &amp; Trouser with Pearls</t>
  </si>
  <si>
    <t>(JJ31429)</t>
  </si>
  <si>
    <t>2pcs Ferry Black Shirt &amp; White Jacket</t>
  </si>
  <si>
    <t>(JJ87142)</t>
  </si>
  <si>
    <t>(9yrs)</t>
  </si>
  <si>
    <t>(6yrs,4yrs,2yrs)</t>
  </si>
  <si>
    <t>2pcs Long Sleeve Shirt &amp; Skyblue Waist Coat</t>
  </si>
  <si>
    <t>(JJ19137)</t>
  </si>
  <si>
    <t>(8-9yrs)</t>
  </si>
  <si>
    <t>3pcs Jacket, Trouser &amp; Top</t>
  </si>
  <si>
    <t>(JJ55471)</t>
  </si>
  <si>
    <t>5yrs,9yrs,10yrs)</t>
  </si>
  <si>
    <t>3pcs Denim Pant, Top, Jacket &amp; White Top</t>
  </si>
  <si>
    <t>(JJ15666)</t>
  </si>
  <si>
    <t>(5yrs,11yrs)</t>
  </si>
  <si>
    <t>Miu Miu Stone Shirts</t>
  </si>
  <si>
    <t>(JJ17332)</t>
  </si>
  <si>
    <t>(6yrs,9yrs)</t>
  </si>
  <si>
    <t>Emporio Armani White RN</t>
  </si>
  <si>
    <t>(JJ97979)</t>
  </si>
  <si>
    <t>(3yrs)</t>
  </si>
  <si>
    <t xml:space="preserve">White Shirt 777 Chain </t>
  </si>
  <si>
    <t>(JJ66959)</t>
  </si>
  <si>
    <t>(6yrs)</t>
  </si>
  <si>
    <t>White Medc Shirt with Black Bottom</t>
  </si>
  <si>
    <t>(JJ58155)</t>
  </si>
  <si>
    <t>Black Stone T-shirt White Bottom</t>
  </si>
  <si>
    <t>(JJ93233)</t>
  </si>
  <si>
    <t>Black White Shirts Happy Stones</t>
  </si>
  <si>
    <t>(JJ92714)</t>
  </si>
  <si>
    <t>M M</t>
  </si>
  <si>
    <t>(JJ22952)</t>
  </si>
  <si>
    <t>Red</t>
  </si>
  <si>
    <t>Navy blue</t>
  </si>
  <si>
    <t>Ash</t>
  </si>
  <si>
    <t>Black Boy Stripes</t>
  </si>
  <si>
    <t>(JJ17692)</t>
  </si>
  <si>
    <t>Ash/White</t>
  </si>
  <si>
    <t>B2B Designer T-shirt Multicolour</t>
  </si>
  <si>
    <t>(JJ95926)</t>
  </si>
  <si>
    <t>Rare Urban Children</t>
  </si>
  <si>
    <t>(JJ65374)</t>
  </si>
  <si>
    <t>Rare Urban Polo</t>
  </si>
  <si>
    <t>(JJ75976)</t>
  </si>
  <si>
    <t>Space Crew Blue Lemon</t>
  </si>
  <si>
    <t>(JJ18543)</t>
  </si>
  <si>
    <t>(2yrs,7yrs)</t>
  </si>
  <si>
    <t>Designer White T-shirt (Multi-colour)</t>
  </si>
  <si>
    <t>(JJ31532)</t>
  </si>
  <si>
    <t>(1yr,6yrs)</t>
  </si>
  <si>
    <t>Tommy Hilfiger RN</t>
  </si>
  <si>
    <t>(JJ77632)</t>
  </si>
  <si>
    <t>(13-14yrs,9-10yrs,7-8yrs,3-4yrs,3-4yrs)</t>
  </si>
  <si>
    <t>(JJ79482)</t>
  </si>
  <si>
    <t>Sleeveless Hoodie Shirt (Multicolour)</t>
  </si>
  <si>
    <t>NavyBlue</t>
  </si>
  <si>
    <t>(6-7yrs)</t>
  </si>
  <si>
    <t>New York T-shirt</t>
  </si>
  <si>
    <t>(JJ57427)</t>
  </si>
  <si>
    <t>(7yrs,9yrs,11yrs)</t>
  </si>
  <si>
    <t>Ralph Lauren Round-Neck Polo</t>
  </si>
  <si>
    <t>(JJ38576)</t>
  </si>
  <si>
    <t>Mustard</t>
  </si>
  <si>
    <t>(24-30m)</t>
  </si>
  <si>
    <t>Tommy Hilfiger Polo Red White Navy Stripe</t>
  </si>
  <si>
    <t>(JJ48433)</t>
  </si>
  <si>
    <t>(13yrs,9yrs,9yrs)</t>
  </si>
  <si>
    <t>Tommy Hilfiger Polo New York City Skyblue</t>
  </si>
  <si>
    <t>(JJ57749)</t>
  </si>
  <si>
    <t>(13yrs,9yrs)</t>
  </si>
  <si>
    <t>Sweet Top</t>
  </si>
  <si>
    <t>(JJ47815)</t>
  </si>
  <si>
    <t xml:space="preserve">Lemon </t>
  </si>
  <si>
    <t>(JJ41432)</t>
  </si>
  <si>
    <t>Don't Trip</t>
  </si>
  <si>
    <t>(JJ73386)</t>
  </si>
  <si>
    <t>L</t>
  </si>
  <si>
    <t>XL</t>
  </si>
  <si>
    <t>(JJ73528)</t>
  </si>
  <si>
    <t>Cloudy Polo</t>
  </si>
  <si>
    <t>(JJ25776)</t>
  </si>
  <si>
    <t>Navy</t>
  </si>
  <si>
    <t>Blue Strip Top with Woman Scarf</t>
  </si>
  <si>
    <t>Crop Top "Florista" with Circle Rope</t>
  </si>
  <si>
    <t>(JJ15314)</t>
  </si>
  <si>
    <t>Navyblue</t>
  </si>
  <si>
    <t>(6yrs,11yrs)</t>
  </si>
  <si>
    <t>(9yrs,11yrs)</t>
  </si>
  <si>
    <t>Coral</t>
  </si>
  <si>
    <t>Sleeveless Crop Top with Zip</t>
  </si>
  <si>
    <t>(JJ12444)</t>
  </si>
  <si>
    <t>Burnt Orange</t>
  </si>
  <si>
    <t>Denim Jacket Multicoloured Paint</t>
  </si>
  <si>
    <t>(JJ22268)</t>
  </si>
  <si>
    <t>Check Hood Jacket</t>
  </si>
  <si>
    <t>(JJ37342)</t>
  </si>
  <si>
    <t>Orange</t>
  </si>
  <si>
    <t>Skyla Polo</t>
  </si>
  <si>
    <t>(JJ81965)</t>
  </si>
  <si>
    <t>Tommy Polo White Embroidery</t>
  </si>
  <si>
    <t>(JJ31156)</t>
  </si>
  <si>
    <t>L,XXL</t>
  </si>
  <si>
    <t>Gen-Z High Rider</t>
  </si>
  <si>
    <t>(JJ47267)</t>
  </si>
  <si>
    <t>Teal</t>
  </si>
  <si>
    <t>Gen-Z Dino</t>
  </si>
  <si>
    <t>(JJ23614)</t>
  </si>
  <si>
    <t>Gen-Z BéHoNCE</t>
  </si>
  <si>
    <t>(JJ88662)</t>
  </si>
  <si>
    <t>XXL,XL</t>
  </si>
  <si>
    <t>Gen-Z Inner Peace</t>
  </si>
  <si>
    <t>(JJ31726)</t>
  </si>
  <si>
    <t>Gen-Z Crushin</t>
  </si>
  <si>
    <t>(JJ74383)</t>
  </si>
  <si>
    <t>Gen-Z Astro Boy</t>
  </si>
  <si>
    <t>(JJ32539)</t>
  </si>
  <si>
    <t>Gen-Z Bird</t>
  </si>
  <si>
    <t>(JJ92581)</t>
  </si>
  <si>
    <t>Gen-Z Skateboard</t>
  </si>
  <si>
    <t>(JJ75576)</t>
  </si>
  <si>
    <t>Size(Age"Years")</t>
  </si>
  <si>
    <t>Gen-Z Wazp</t>
  </si>
  <si>
    <t>(JJ84898)</t>
  </si>
  <si>
    <t>XXL,L,M</t>
  </si>
  <si>
    <t>XXL,XL,L,M</t>
  </si>
  <si>
    <t>Denim Cargo Pant with Zip</t>
  </si>
  <si>
    <t>(JJ63482)</t>
  </si>
  <si>
    <t>Lemon Green</t>
  </si>
  <si>
    <t>(6yrs,6yrs,6yrs,6yrs,7yrs,11yrs,11yrs)</t>
  </si>
  <si>
    <t>Multicoloured Cargo Pants</t>
  </si>
  <si>
    <t>(JJ57977)</t>
  </si>
  <si>
    <t>Leather Cargo Pants</t>
  </si>
  <si>
    <t>(JJ28843)</t>
  </si>
  <si>
    <t>Grey Cargo Pants</t>
  </si>
  <si>
    <t>(JJ53678)</t>
  </si>
  <si>
    <t>Cargo Grey Denim</t>
  </si>
  <si>
    <t>(JJ18395)</t>
  </si>
  <si>
    <t>(13yrs)</t>
  </si>
  <si>
    <t>Cargo Blue Denim</t>
  </si>
  <si>
    <t>(4yrs,7yrs,9yrs)</t>
  </si>
  <si>
    <t>Cargo Green Pants</t>
  </si>
  <si>
    <t>(JJ39787)</t>
  </si>
  <si>
    <t>(9yrs,10yrs)</t>
  </si>
  <si>
    <t>Camo Trouser</t>
  </si>
  <si>
    <t>(JJ24432)</t>
  </si>
  <si>
    <t>(6yrs,7yrs,10yrs)</t>
  </si>
  <si>
    <t>Cargo Army Green Denim</t>
  </si>
  <si>
    <t>(4yrs,5yrs,10yrs,11yrs,12yrs,13yrs)</t>
  </si>
  <si>
    <t>Cargo Off-White Denim</t>
  </si>
  <si>
    <t>Denim Cargo Block Pant with White Polka Dot Belt</t>
  </si>
  <si>
    <t>(JJ75795)</t>
  </si>
  <si>
    <t>(5yrs,7yrs,8yrs,9yrs,11yrs)</t>
  </si>
  <si>
    <t>(5yrs,5yrs,6yrs,6yrs,7yrs,8yrs,9yrs,10yrs)</t>
  </si>
  <si>
    <t>Ankle Lace Blue Denim</t>
  </si>
  <si>
    <t>(JJ15784)</t>
  </si>
  <si>
    <t>(5yrs,7yrs)</t>
  </si>
  <si>
    <t>Bell Button Denim with Belt Rope</t>
  </si>
  <si>
    <t>(JJ77332)</t>
  </si>
  <si>
    <t>Light</t>
  </si>
  <si>
    <t>(6yrs,10yrs)</t>
  </si>
  <si>
    <t>Denim Pants "Good Vibe Only"</t>
  </si>
  <si>
    <t>(JJ85894)</t>
  </si>
  <si>
    <t>(4yrs,5yrs,7yrs)</t>
  </si>
  <si>
    <t>Dark</t>
  </si>
  <si>
    <t>(8yrs,9yrs)</t>
  </si>
  <si>
    <t>Denim Colourful Bear Pant</t>
  </si>
  <si>
    <t>(JJ68543)</t>
  </si>
  <si>
    <t>(7yrs,9yrs)</t>
  </si>
  <si>
    <t>Bell Buttom Trouser (Butterfly)</t>
  </si>
  <si>
    <t>(JJ96356)</t>
  </si>
  <si>
    <t>(11yrs,10yrs,7yrs)</t>
  </si>
  <si>
    <t>(9yrs,14yrs)</t>
  </si>
  <si>
    <t>Cargo Denim Black (Toy Pocket)</t>
  </si>
  <si>
    <t>(JJ87467)</t>
  </si>
  <si>
    <t>(8yrs,9yrs,10yrs,11yrs)</t>
  </si>
  <si>
    <t>Cargo Black Denim</t>
  </si>
  <si>
    <t>(4yrs,8yrs,10yrs)</t>
  </si>
  <si>
    <t>Denim Ripped Jeans with Rope</t>
  </si>
  <si>
    <t>(JJ55741)</t>
  </si>
  <si>
    <t>(4yrs)</t>
  </si>
  <si>
    <t>Denim Ripped Jeans "G"</t>
  </si>
  <si>
    <t>(JJ77829)</t>
  </si>
  <si>
    <t>(11yrs,13yrs)</t>
  </si>
  <si>
    <t>Denim Pleated Skirt</t>
  </si>
  <si>
    <t>(JJ49924)</t>
  </si>
  <si>
    <t>Denim Skirt with Pink Belt</t>
  </si>
  <si>
    <t>(JJ31778)</t>
  </si>
  <si>
    <t>Denim Skirt with White Belt "Be Nice"</t>
  </si>
  <si>
    <t>(JJ43585)</t>
  </si>
  <si>
    <t>Black Leggings with Ankle Bow</t>
  </si>
  <si>
    <t>(JJ48779)</t>
  </si>
  <si>
    <t>3 Quarter Short with Belt</t>
  </si>
  <si>
    <t>(JJ52333)</t>
  </si>
  <si>
    <t>(6-7yrs,2-3yrs)</t>
  </si>
  <si>
    <t>(2-3yrs,4-5yrs)</t>
  </si>
  <si>
    <t>Army Green</t>
  </si>
  <si>
    <t>(12-13yrs)</t>
  </si>
  <si>
    <t>Denim Peach Short Unicorn</t>
  </si>
  <si>
    <t>(JJ76896)</t>
  </si>
  <si>
    <t>Denim White Short with Tassle</t>
  </si>
  <si>
    <t>(JJ91846)</t>
  </si>
  <si>
    <t>Sailor Denim Short</t>
  </si>
  <si>
    <t>(JJ38457)</t>
  </si>
  <si>
    <t>Denim Black Short with Polka Dot Rope</t>
  </si>
  <si>
    <t>(JJ45289)</t>
  </si>
  <si>
    <t>(13yrs, 14yrs)</t>
  </si>
  <si>
    <t>Tommy Hilfiger Polo White with Red Stripe</t>
  </si>
  <si>
    <t>(JJ42231)</t>
  </si>
  <si>
    <t>(11-12yrs)</t>
  </si>
  <si>
    <t>(JJ31553)</t>
  </si>
  <si>
    <t>Hugo Boss Polo Red &amp; White Strip with Collar</t>
  </si>
  <si>
    <t>(5-6yrs)</t>
  </si>
  <si>
    <t>Dungress Gown</t>
  </si>
  <si>
    <t>(JJ36118)</t>
  </si>
  <si>
    <t>Multicoloured Check Dress</t>
  </si>
  <si>
    <t>(JJ11638)</t>
  </si>
  <si>
    <t>(12yrs,5yrs)</t>
  </si>
  <si>
    <t>3 Tone Dress Y|P|B Mathudi</t>
  </si>
  <si>
    <t>(JJ72215)</t>
  </si>
  <si>
    <t>(9yrs,8yrs,7yrs,6yrs,5yrs)</t>
  </si>
  <si>
    <t>National Geographic Floral Shirt Long Sleeve Button Down</t>
  </si>
  <si>
    <t>(JJ51957)</t>
  </si>
  <si>
    <t>Skyblue/White</t>
  </si>
  <si>
    <t>SR Plain Dress Shirt Short Sleeve Button Down</t>
  </si>
  <si>
    <t>(JJ96777)</t>
  </si>
  <si>
    <t>(JJ23177)</t>
  </si>
  <si>
    <t>(4-5yrs,8-9yrs)</t>
  </si>
  <si>
    <t>(JJ46438)</t>
  </si>
  <si>
    <t>SR Dress Shirt Long Sleeve Button Down (Black Stripe Down)</t>
  </si>
  <si>
    <t>SR Floral Designer Dress Shirt Long Sleeve Button Down</t>
  </si>
  <si>
    <t>(JJ43168)</t>
  </si>
  <si>
    <t>(4-5yrs)</t>
  </si>
  <si>
    <t>SR Alphabet Dress Shirt Short Sleeve Button Down</t>
  </si>
  <si>
    <t>(JJ15916)</t>
  </si>
  <si>
    <t>(8-7yrs)</t>
  </si>
  <si>
    <t>3D Top-Elastic Waist (Adult)</t>
  </si>
  <si>
    <t>(JJ88758)</t>
  </si>
  <si>
    <t>(JJ83232)</t>
  </si>
  <si>
    <t>Chiffon Addire Crop Top</t>
  </si>
  <si>
    <t>Spaghetti Addire Chiffon Top</t>
  </si>
  <si>
    <t>(JJ75159)</t>
  </si>
  <si>
    <t>Beautiful Shinny Shoes</t>
  </si>
  <si>
    <t>(JJ46593)</t>
  </si>
  <si>
    <t>Gold</t>
  </si>
  <si>
    <t>Black School Shoe (Girls)</t>
  </si>
  <si>
    <t>(JJ41746)</t>
  </si>
  <si>
    <t xml:space="preserve">Replay Slides </t>
  </si>
  <si>
    <t>(JJ48493)</t>
  </si>
  <si>
    <t>Space Ship Slides</t>
  </si>
  <si>
    <t>(JJ79694)</t>
  </si>
  <si>
    <t>Micheal Kros (MK) Slides</t>
  </si>
  <si>
    <t>(JJ23127)</t>
  </si>
  <si>
    <t>Brown-Grey</t>
  </si>
  <si>
    <t>Aipao Slides</t>
  </si>
  <si>
    <t>(JJ65131)</t>
  </si>
  <si>
    <t xml:space="preserve">Brown </t>
  </si>
  <si>
    <t>Black Boot (Pocket)</t>
  </si>
  <si>
    <t>(JJ68916)</t>
  </si>
  <si>
    <t>Timbz Boot (Levis)</t>
  </si>
  <si>
    <t>(JJ56835)</t>
  </si>
  <si>
    <t>Black-Brown</t>
  </si>
  <si>
    <t>Barbie Sneakers</t>
  </si>
  <si>
    <t>(JJ15424)</t>
  </si>
  <si>
    <t>White Sneakers</t>
  </si>
  <si>
    <t>(JJ79231)</t>
  </si>
  <si>
    <t>40,32</t>
  </si>
  <si>
    <t>Radit Sneakers</t>
  </si>
  <si>
    <t>(JJ74933)</t>
  </si>
  <si>
    <t>Green</t>
  </si>
  <si>
    <t>33,33</t>
  </si>
  <si>
    <t>Disco Light Sneakers</t>
  </si>
  <si>
    <t>(JJ85485)</t>
  </si>
  <si>
    <t>Nike Sneakers</t>
  </si>
  <si>
    <t>(JJ15219)</t>
  </si>
  <si>
    <t>34,35</t>
  </si>
  <si>
    <t>25,33</t>
  </si>
  <si>
    <t>33,37,38,39</t>
  </si>
  <si>
    <t>28,33,35,36,37,39</t>
  </si>
  <si>
    <t>(JJ54672)</t>
  </si>
  <si>
    <t>White DooDogs Sneakers (Rainbow)</t>
  </si>
  <si>
    <t>Half Shoe (Polo)</t>
  </si>
  <si>
    <t>(JJ94885)</t>
  </si>
  <si>
    <t>Leather Black</t>
  </si>
  <si>
    <t>National Geographic Plain Shirt Sleeve Button Down</t>
  </si>
  <si>
    <t>Run Kids T-shirt</t>
  </si>
  <si>
    <t>(JJ93529)</t>
  </si>
  <si>
    <t>Indian Yellow Costume</t>
  </si>
  <si>
    <t>(JJ11271)</t>
  </si>
  <si>
    <t>Price</t>
  </si>
  <si>
    <t>Unit_Price</t>
  </si>
  <si>
    <t xml:space="preserve">Total           = </t>
  </si>
  <si>
    <t>For Shoes</t>
  </si>
  <si>
    <t>Row Labels</t>
  </si>
  <si>
    <t>Sum of Quantity Sold</t>
  </si>
  <si>
    <t>Colours</t>
  </si>
  <si>
    <t>For Clothes</t>
  </si>
  <si>
    <t>Colour Analysis</t>
  </si>
  <si>
    <t>Product Name Analysis</t>
  </si>
  <si>
    <t>Product Name</t>
  </si>
  <si>
    <t>Gen-Z (All)</t>
  </si>
  <si>
    <t>Sum of Price</t>
  </si>
  <si>
    <t>XXL</t>
  </si>
  <si>
    <t>M</t>
  </si>
  <si>
    <t>6yrs</t>
  </si>
  <si>
    <t>9yrs</t>
  </si>
  <si>
    <t>16yrs</t>
  </si>
  <si>
    <t>14yrs</t>
  </si>
  <si>
    <t>8yrs</t>
  </si>
  <si>
    <t>7yrs</t>
  </si>
  <si>
    <t>10yrs</t>
  </si>
  <si>
    <t>4yrs</t>
  </si>
  <si>
    <t>5yrs</t>
  </si>
  <si>
    <t>11yrs</t>
  </si>
  <si>
    <t>12yrs</t>
  </si>
  <si>
    <t>2yrs</t>
  </si>
  <si>
    <t>3yrs</t>
  </si>
  <si>
    <t>11yr</t>
  </si>
  <si>
    <t>18yrs</t>
  </si>
  <si>
    <t>1yr</t>
  </si>
  <si>
    <t>13yrs</t>
  </si>
  <si>
    <t>15yrs</t>
  </si>
  <si>
    <t>Age(Size)</t>
  </si>
  <si>
    <t>Count of Ages</t>
  </si>
  <si>
    <t>Sizes Analysis</t>
  </si>
  <si>
    <t>Count of Age(Size)</t>
  </si>
  <si>
    <t>Shoe(Size)</t>
  </si>
  <si>
    <t>Count of Shoe(Size)</t>
  </si>
  <si>
    <t>Clothes(Size)</t>
  </si>
  <si>
    <t>Count of Clothes(Size)</t>
  </si>
  <si>
    <t/>
  </si>
  <si>
    <t>Sunday</t>
  </si>
  <si>
    <t>Monday</t>
  </si>
  <si>
    <t>Tuesday</t>
  </si>
  <si>
    <t>Wednesday</t>
  </si>
  <si>
    <t>Thursday</t>
  </si>
  <si>
    <t xml:space="preserve">Friday </t>
  </si>
  <si>
    <t>Days of the week</t>
  </si>
  <si>
    <t>Revenue</t>
  </si>
  <si>
    <t>Sun</t>
  </si>
  <si>
    <t>Mon</t>
  </si>
  <si>
    <t>Tue</t>
  </si>
  <si>
    <t>Wed</t>
  </si>
  <si>
    <t>Thur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</si>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</sst>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₦&quot;#,##0.00"/>
    <numFmt numFmtId="165" formatCode="&quot;₦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Garamond"/>
      <family val="1"/>
    </font>
    <font>
      <sz val="11"/>
      <color rgb="FF7030A0"/>
      <name val="Calibri"/>
      <family val="2"/>
      <scheme val="minor"/>
    </font>
    <font>
      <b/>
      <sz val="13.5"/>
      <color theme="0"/>
      <name val="Calibri"/>
      <family val="2"/>
      <scheme val="minor"/>
    </font>
    <font>
      <sz val="11"/>
      <color rgb="FF7030A0"/>
      <name val="Arial Unicode MS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rgb="FFE6E6FA"/>
        <bgColor indexed="64"/>
      </patternFill>
    </fill>
  </fills>
  <borders count="12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4" borderId="1" xfId="0" applyFont="1" applyFill="1" applyBorder="1"/>
    <xf numFmtId="0" fontId="0" fillId="4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165" fontId="1" fillId="0" borderId="0" xfId="0" applyNumberFormat="1" applyFont="1"/>
    <xf numFmtId="165" fontId="0" fillId="0" borderId="0" xfId="0" applyNumberFormat="1"/>
    <xf numFmtId="165" fontId="0" fillId="0" borderId="3" xfId="0" applyNumberFormat="1" applyFont="1" applyBorder="1"/>
    <xf numFmtId="165" fontId="4" fillId="4" borderId="3" xfId="0" applyNumberFormat="1" applyFont="1" applyFill="1" applyBorder="1"/>
    <xf numFmtId="0" fontId="0" fillId="6" borderId="4" xfId="0" applyFont="1" applyFill="1" applyBorder="1"/>
    <xf numFmtId="0" fontId="0" fillId="6" borderId="5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6" borderId="6" xfId="0" applyFont="1" applyFill="1" applyBorder="1"/>
    <xf numFmtId="0" fontId="0" fillId="0" borderId="6" xfId="0" applyFont="1" applyBorder="1"/>
    <xf numFmtId="0" fontId="2" fillId="5" borderId="7" xfId="0" applyFont="1" applyFill="1" applyBorder="1"/>
    <xf numFmtId="0" fontId="0" fillId="6" borderId="8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7" borderId="0" xfId="0" applyFill="1" applyAlignment="1"/>
    <xf numFmtId="0" fontId="3" fillId="8" borderId="0" xfId="0" applyFont="1" applyFill="1"/>
    <xf numFmtId="0" fontId="6" fillId="7" borderId="0" xfId="0" applyFont="1" applyFill="1" applyAlignment="1"/>
    <xf numFmtId="0" fontId="7" fillId="0" borderId="0" xfId="0" applyFont="1"/>
    <xf numFmtId="165" fontId="0" fillId="6" borderId="5" xfId="0" applyNumberFormat="1" applyFont="1" applyFill="1" applyBorder="1"/>
    <xf numFmtId="165" fontId="0" fillId="0" borderId="5" xfId="0" applyNumberFormat="1" applyFont="1" applyBorder="1"/>
    <xf numFmtId="0" fontId="2" fillId="8" borderId="10" xfId="0" applyFont="1" applyFill="1" applyBorder="1"/>
    <xf numFmtId="164" fontId="2" fillId="5" borderId="9" xfId="0" applyNumberFormat="1" applyFont="1" applyFill="1" applyBorder="1"/>
    <xf numFmtId="0" fontId="2" fillId="5" borderId="9" xfId="0" applyFont="1" applyFill="1" applyBorder="1"/>
    <xf numFmtId="0" fontId="3" fillId="8" borderId="0" xfId="0" pivotButton="1" applyFont="1" applyFill="1"/>
    <xf numFmtId="165" fontId="0" fillId="6" borderId="6" xfId="0" applyNumberFormat="1" applyFont="1" applyFill="1" applyBorder="1"/>
    <xf numFmtId="165" fontId="0" fillId="0" borderId="6" xfId="0" applyNumberFormat="1" applyFont="1" applyBorder="1"/>
    <xf numFmtId="164" fontId="2" fillId="5" borderId="7" xfId="0" applyNumberFormat="1" applyFont="1" applyFill="1" applyBorder="1"/>
    <xf numFmtId="165" fontId="0" fillId="6" borderId="8" xfId="0" applyNumberFormat="1" applyFont="1" applyFill="1" applyBorder="1"/>
    <xf numFmtId="0" fontId="0" fillId="3" borderId="11" xfId="0" applyFont="1" applyFill="1" applyBorder="1"/>
    <xf numFmtId="0" fontId="0" fillId="0" borderId="11" xfId="0" applyFont="1" applyBorder="1"/>
    <xf numFmtId="0" fontId="2" fillId="2" borderId="0" xfId="0" applyFont="1" applyFill="1" applyBorder="1"/>
    <xf numFmtId="165" fontId="0" fillId="0" borderId="11" xfId="0" applyNumberFormat="1" applyFont="1" applyBorder="1"/>
    <xf numFmtId="165" fontId="0" fillId="3" borderId="11" xfId="0" applyNumberFormat="1" applyFont="1" applyFill="1" applyBorder="1"/>
    <xf numFmtId="0" fontId="5" fillId="10" borderId="0" xfId="0" applyFont="1" applyFill="1"/>
    <xf numFmtId="0" fontId="6" fillId="9" borderId="0" xfId="0" applyFont="1" applyFill="1" applyAlignment="1">
      <alignment horizontal="center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C00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C00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₦&quot;#,##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C00FF"/>
        </patternFill>
      </fill>
    </dxf>
    <dxf>
      <font>
        <color theme="0"/>
      </font>
      <fill>
        <patternFill patternType="solid">
          <fgColor indexed="64"/>
          <bgColor rgb="FFCC00FF"/>
        </patternFill>
      </fill>
    </dxf>
    <dxf>
      <font>
        <color theme="0"/>
      </font>
      <fill>
        <patternFill patternType="solid">
          <fgColor indexed="64"/>
          <bgColor rgb="FFCC00FF"/>
        </patternFill>
      </fill>
    </dxf>
    <dxf>
      <numFmt numFmtId="165" formatCode="&quot;₦&quot;#,##0"/>
    </dxf>
    <dxf>
      <font>
        <color theme="0"/>
      </font>
      <fill>
        <patternFill patternType="solid">
          <fgColor indexed="64"/>
          <bgColor rgb="FFCC00FF"/>
        </patternFill>
      </fill>
    </dxf>
    <dxf>
      <font>
        <color theme="0"/>
      </font>
      <fill>
        <patternFill patternType="solid">
          <fgColor indexed="64"/>
          <bgColor rgb="FFCC00FF"/>
        </patternFill>
      </fill>
    </dxf>
    <dxf>
      <fill>
        <patternFill>
          <bgColor rgb="FFCC00FF"/>
        </patternFill>
      </fill>
    </dxf>
    <dxf>
      <fill>
        <patternFill>
          <bgColor rgb="FFCC00FF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9933FF"/>
        </patternFill>
      </fill>
    </dxf>
    <dxf>
      <fill>
        <patternFill patternType="solid">
          <bgColor rgb="FF9933FF"/>
        </patternFill>
      </fill>
    </dxf>
    <dxf>
      <font>
        <color theme="0"/>
      </font>
      <fill>
        <patternFill patternType="solid">
          <fgColor indexed="64"/>
          <bgColor rgb="FFCC00FF"/>
        </patternFill>
      </fill>
    </dxf>
    <dxf>
      <font>
        <color theme="0"/>
      </font>
      <fill>
        <patternFill patternType="solid">
          <fgColor indexed="64"/>
          <bgColor rgb="FFCC00FF"/>
        </patternFill>
      </fill>
    </dxf>
    <dxf>
      <font>
        <color theme="0"/>
      </font>
      <fill>
        <patternFill patternType="solid">
          <fgColor indexed="64"/>
          <bgColor rgb="FFCC00FF"/>
        </patternFill>
      </fill>
    </dxf>
    <dxf>
      <font>
        <color theme="0"/>
      </font>
      <fill>
        <patternFill patternType="solid">
          <fgColor indexed="64"/>
          <bgColor rgb="FFCC00FF"/>
        </patternFill>
      </fill>
    </dxf>
    <dxf>
      <numFmt numFmtId="165" formatCode="&quot;₦&quot;#,##0"/>
    </dxf>
    <dxf>
      <font>
        <color theme="0"/>
      </font>
      <fill>
        <patternFill patternType="solid">
          <fgColor indexed="64"/>
          <bgColor rgb="FFCC00FF"/>
        </patternFill>
      </fill>
    </dxf>
    <dxf>
      <font>
        <color theme="0"/>
      </font>
      <fill>
        <patternFill patternType="solid">
          <fgColor indexed="64"/>
          <bgColor rgb="FFCC00FF"/>
        </patternFill>
      </fill>
    </dxf>
    <dxf>
      <font>
        <color theme="0"/>
      </font>
      <fill>
        <patternFill patternType="solid">
          <fgColor indexed="64"/>
          <bgColor rgb="FFCC00FF"/>
        </patternFill>
      </fill>
    </dxf>
    <dxf>
      <font>
        <color theme="0"/>
      </font>
      <fill>
        <patternFill patternType="solid">
          <fgColor indexed="64"/>
          <bgColor rgb="FFCC00FF"/>
        </patternFill>
      </fill>
    </dxf>
    <dxf>
      <font>
        <color theme="0"/>
      </font>
      <fill>
        <patternFill patternType="solid">
          <fgColor indexed="64"/>
          <bgColor rgb="FFCC00FF"/>
        </patternFill>
      </fill>
    </dxf>
    <dxf>
      <font>
        <color theme="0"/>
      </font>
      <fill>
        <patternFill patternType="solid">
          <fgColor indexed="64"/>
          <bgColor rgb="FFCC00FF"/>
        </patternFill>
      </fill>
    </dxf>
    <dxf>
      <numFmt numFmtId="165" formatCode="&quot;₦&quot;#,##0"/>
    </dxf>
    <dxf>
      <font>
        <color theme="0"/>
      </font>
      <fill>
        <patternFill patternType="solid">
          <fgColor indexed="64"/>
          <bgColor rgb="FFCC00FF"/>
        </patternFill>
      </fill>
    </dxf>
    <dxf>
      <font>
        <color theme="0"/>
      </font>
      <fill>
        <patternFill patternType="solid">
          <fgColor indexed="64"/>
          <bgColor rgb="FFCC00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₦&quot;#,##0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numFmt numFmtId="165" formatCode="&quot;₦&quot;#,##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₦&quot;#,##0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left style="thin">
          <color theme="1"/>
        </left>
        <top style="thin">
          <color theme="1"/>
        </top>
      </border>
    </dxf>
    <dxf>
      <border outline="0">
        <bottom style="thin">
          <color theme="1"/>
        </bottom>
      </border>
    </dxf>
    <dxf>
      <numFmt numFmtId="165" formatCode="&quot;₦&quot;#,##0"/>
    </dxf>
    <dxf>
      <font>
        <color theme="0"/>
      </font>
      <fill>
        <patternFill patternType="solid">
          <fgColor indexed="64"/>
          <bgColor rgb="FFCC00FF"/>
        </patternFill>
      </fill>
    </dxf>
    <dxf>
      <font>
        <color theme="0"/>
      </font>
      <fill>
        <patternFill patternType="solid">
          <fgColor indexed="64"/>
          <bgColor rgb="FFCC00FF"/>
        </patternFill>
      </fill>
    </dxf>
    <dxf>
      <numFmt numFmtId="165" formatCode="&quot;₦&quot;#,##0"/>
    </dxf>
    <dxf>
      <numFmt numFmtId="165" formatCode="&quot;₦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&quot;₦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1" defaultTableStyle="TableStyleMedium2" defaultPivotStyle="PivotStyleLight16">
    <tableStyle name="Table Style 1" pivot="0" count="0" xr9:uid="{F19AA4E4-E3AF-44B3-9D31-6D1073D61BAF}"/>
  </tableStyles>
  <colors>
    <mruColors>
      <color rgb="FFE6E6FA"/>
      <color rgb="FFFFFDD0"/>
      <color rgb="FF98FB98"/>
      <color rgb="FFB0E0E6"/>
      <color rgb="FFD3D3D3"/>
      <color rgb="FFF6E5FF"/>
      <color rgb="FFEDCDFF"/>
      <color rgb="FFF282C7"/>
      <color rgb="FF430D3A"/>
      <color rgb="FFF3C3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0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[JevJaz Sold Products.xlsx]Analysis!PivotTable2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E5D9F"/>
          </a:solidFill>
          <a:ln>
            <a:noFill/>
          </a:ln>
          <a:effectLst/>
        </c:spPr>
      </c:pivotFmt>
      <c:pivotFmt>
        <c:idx val="5"/>
        <c:spPr>
          <a:solidFill>
            <a:srgbClr val="29BF12"/>
          </a:solidFill>
          <a:ln>
            <a:noFill/>
          </a:ln>
          <a:effectLst/>
        </c:spPr>
      </c:pivotFmt>
      <c:pivotFmt>
        <c:idx val="6"/>
        <c:spPr>
          <a:solidFill>
            <a:srgbClr val="4361EE"/>
          </a:solidFill>
          <a:ln>
            <a:noFill/>
          </a:ln>
          <a:effectLst/>
        </c:spPr>
      </c:pivotFmt>
      <c:pivotFmt>
        <c:idx val="7"/>
        <c:spPr>
          <a:solidFill>
            <a:schemeClr val="bg1"/>
          </a:solidFill>
          <a:ln>
            <a:noFill/>
          </a:ln>
          <a:effectLst/>
        </c:spPr>
      </c:pivotFmt>
      <c:pivotFmt>
        <c:idx val="8"/>
        <c:spPr>
          <a:solidFill>
            <a:srgbClr val="FFEE32"/>
          </a:solidFill>
          <a:ln>
            <a:noFill/>
          </a:ln>
          <a:effectLst/>
        </c:spPr>
      </c:pivotFmt>
      <c:pivotFmt>
        <c:idx val="9"/>
        <c:spPr>
          <a:solidFill>
            <a:srgbClr val="EF6351"/>
          </a:solidFill>
          <a:ln>
            <a:noFill/>
          </a:ln>
          <a:effectLst/>
        </c:spPr>
      </c:pivotFmt>
      <c:pivotFmt>
        <c:idx val="10"/>
        <c:spPr>
          <a:solidFill>
            <a:srgbClr val="E2AFFF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E2AFFF"/>
          </a:solidFill>
          <a:ln>
            <a:noFill/>
          </a:ln>
          <a:effectLst/>
        </c:spPr>
      </c:pivotFmt>
      <c:pivotFmt>
        <c:idx val="13"/>
        <c:spPr>
          <a:solidFill>
            <a:srgbClr val="EF6351"/>
          </a:solidFill>
          <a:ln>
            <a:noFill/>
          </a:ln>
          <a:effectLst/>
        </c:spPr>
      </c:pivotFmt>
      <c:pivotFmt>
        <c:idx val="14"/>
        <c:spPr>
          <a:solidFill>
            <a:srgbClr val="FFEE32"/>
          </a:solidFill>
          <a:ln>
            <a:noFill/>
          </a:ln>
          <a:effectLst/>
        </c:spPr>
      </c:pivotFmt>
      <c:pivotFmt>
        <c:idx val="15"/>
        <c:spPr>
          <a:solidFill>
            <a:schemeClr val="bg1"/>
          </a:solidFill>
          <a:ln>
            <a:noFill/>
          </a:ln>
          <a:effectLst/>
        </c:spPr>
      </c:pivotFmt>
      <c:pivotFmt>
        <c:idx val="16"/>
        <c:spPr>
          <a:solidFill>
            <a:srgbClr val="4361EE"/>
          </a:solidFill>
          <a:ln>
            <a:noFill/>
          </a:ln>
          <a:effectLst/>
        </c:spPr>
      </c:pivotFmt>
      <c:pivotFmt>
        <c:idx val="17"/>
        <c:spPr>
          <a:solidFill>
            <a:srgbClr val="29BF12"/>
          </a:solidFill>
          <a:ln>
            <a:noFill/>
          </a:ln>
          <a:effectLst/>
        </c:spPr>
      </c:pivotFmt>
      <c:pivotFmt>
        <c:idx val="18"/>
        <c:spPr>
          <a:solidFill>
            <a:srgbClr val="FE5D9F"/>
          </a:solidFill>
          <a:ln>
            <a:noFill/>
          </a:ln>
          <a:effectLst/>
        </c:spPr>
      </c:pivotFmt>
      <c:pivotFmt>
        <c:idx val="19"/>
        <c:spPr>
          <a:solidFill>
            <a:schemeClr val="tx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E2AFFF"/>
          </a:solidFill>
          <a:ln>
            <a:noFill/>
          </a:ln>
          <a:effectLst/>
        </c:spPr>
      </c:pivotFmt>
      <c:pivotFmt>
        <c:idx val="22"/>
        <c:spPr>
          <a:solidFill>
            <a:srgbClr val="EF6351"/>
          </a:solidFill>
          <a:ln>
            <a:noFill/>
          </a:ln>
          <a:effectLst/>
        </c:spPr>
      </c:pivotFmt>
      <c:pivotFmt>
        <c:idx val="23"/>
        <c:spPr>
          <a:solidFill>
            <a:srgbClr val="FFEE32"/>
          </a:solidFill>
          <a:ln>
            <a:noFill/>
          </a:ln>
          <a:effectLst/>
        </c:spPr>
      </c:pivotFmt>
      <c:pivotFmt>
        <c:idx val="24"/>
        <c:spPr>
          <a:solidFill>
            <a:schemeClr val="bg1"/>
          </a:solidFill>
          <a:ln>
            <a:noFill/>
          </a:ln>
          <a:effectLst/>
        </c:spPr>
      </c:pivotFmt>
      <c:pivotFmt>
        <c:idx val="25"/>
        <c:spPr>
          <a:solidFill>
            <a:srgbClr val="4361EE"/>
          </a:solidFill>
          <a:ln>
            <a:noFill/>
          </a:ln>
          <a:effectLst/>
        </c:spPr>
      </c:pivotFmt>
      <c:pivotFmt>
        <c:idx val="26"/>
        <c:spPr>
          <a:solidFill>
            <a:srgbClr val="29BF12"/>
          </a:solidFill>
          <a:ln>
            <a:noFill/>
          </a:ln>
          <a:effectLst/>
        </c:spPr>
      </c:pivotFmt>
      <c:pivotFmt>
        <c:idx val="27"/>
        <c:spPr>
          <a:solidFill>
            <a:srgbClr val="FE5D9F"/>
          </a:solidFill>
          <a:ln>
            <a:noFill/>
          </a:ln>
          <a:effectLst/>
        </c:spPr>
      </c:pivotFmt>
      <c:pivotFmt>
        <c:idx val="28"/>
        <c:spPr>
          <a:solidFill>
            <a:schemeClr val="tx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E2AFFF"/>
          </a:solidFill>
          <a:ln>
            <a:noFill/>
          </a:ln>
          <a:effectLst/>
        </c:spPr>
      </c:pivotFmt>
      <c:pivotFmt>
        <c:idx val="31"/>
        <c:spPr>
          <a:solidFill>
            <a:srgbClr val="EF6351"/>
          </a:solidFill>
          <a:ln>
            <a:noFill/>
          </a:ln>
          <a:effectLst/>
        </c:spPr>
      </c:pivotFmt>
      <c:pivotFmt>
        <c:idx val="32"/>
        <c:spPr>
          <a:solidFill>
            <a:srgbClr val="FFEE32"/>
          </a:solidFill>
          <a:ln>
            <a:noFill/>
          </a:ln>
          <a:effectLst/>
        </c:spPr>
      </c:pivotFmt>
      <c:pivotFmt>
        <c:idx val="33"/>
        <c:spPr>
          <a:solidFill>
            <a:schemeClr val="bg1"/>
          </a:solidFill>
          <a:ln>
            <a:noFill/>
          </a:ln>
          <a:effectLst/>
        </c:spPr>
      </c:pivotFmt>
      <c:pivotFmt>
        <c:idx val="34"/>
        <c:spPr>
          <a:solidFill>
            <a:srgbClr val="4361EE"/>
          </a:solidFill>
          <a:ln>
            <a:noFill/>
          </a:ln>
          <a:effectLst/>
        </c:spPr>
      </c:pivotFmt>
      <c:pivotFmt>
        <c:idx val="35"/>
        <c:spPr>
          <a:solidFill>
            <a:srgbClr val="29BF12"/>
          </a:solidFill>
          <a:ln>
            <a:noFill/>
          </a:ln>
          <a:effectLst/>
        </c:spPr>
      </c:pivotFmt>
      <c:pivotFmt>
        <c:idx val="36"/>
        <c:spPr>
          <a:solidFill>
            <a:srgbClr val="FE5D9F"/>
          </a:solidFill>
          <a:ln>
            <a:noFill/>
          </a:ln>
          <a:effectLst/>
        </c:spPr>
      </c:pivotFmt>
      <c:pivotFmt>
        <c:idx val="37"/>
        <c:spPr>
          <a:solidFill>
            <a:schemeClr val="tx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E2AFFF"/>
          </a:solidFill>
          <a:ln>
            <a:noFill/>
          </a:ln>
          <a:effectLst/>
        </c:spPr>
      </c:pivotFmt>
      <c:pivotFmt>
        <c:idx val="40"/>
        <c:spPr>
          <a:solidFill>
            <a:srgbClr val="EF6351"/>
          </a:solidFill>
          <a:ln>
            <a:noFill/>
          </a:ln>
          <a:effectLst/>
        </c:spPr>
      </c:pivotFmt>
      <c:pivotFmt>
        <c:idx val="41"/>
        <c:spPr>
          <a:solidFill>
            <a:srgbClr val="FFEE32"/>
          </a:solidFill>
          <a:ln>
            <a:noFill/>
          </a:ln>
          <a:effectLst/>
        </c:spPr>
      </c:pivotFmt>
      <c:pivotFmt>
        <c:idx val="42"/>
        <c:spPr>
          <a:solidFill>
            <a:schemeClr val="bg1"/>
          </a:solidFill>
          <a:ln>
            <a:noFill/>
          </a:ln>
          <a:effectLst/>
        </c:spPr>
      </c:pivotFmt>
      <c:pivotFmt>
        <c:idx val="43"/>
        <c:spPr>
          <a:solidFill>
            <a:srgbClr val="4361EE"/>
          </a:solidFill>
          <a:ln>
            <a:noFill/>
          </a:ln>
          <a:effectLst/>
        </c:spPr>
      </c:pivotFmt>
      <c:pivotFmt>
        <c:idx val="44"/>
        <c:spPr>
          <a:solidFill>
            <a:srgbClr val="29BF12"/>
          </a:solidFill>
          <a:ln>
            <a:noFill/>
          </a:ln>
          <a:effectLst/>
        </c:spPr>
      </c:pivotFmt>
      <c:pivotFmt>
        <c:idx val="45"/>
        <c:spPr>
          <a:solidFill>
            <a:srgbClr val="FE5D9F"/>
          </a:solidFill>
          <a:ln>
            <a:noFill/>
          </a:ln>
          <a:effectLst/>
        </c:spPr>
      </c:pivotFmt>
      <c:pivotFmt>
        <c:idx val="46"/>
        <c:spPr>
          <a:solidFill>
            <a:schemeClr val="tx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E2AFFF"/>
          </a:solidFill>
          <a:ln>
            <a:noFill/>
          </a:ln>
          <a:effectLst/>
        </c:spPr>
      </c:pivotFmt>
      <c:pivotFmt>
        <c:idx val="49"/>
        <c:spPr>
          <a:solidFill>
            <a:srgbClr val="EF6351"/>
          </a:solidFill>
          <a:ln>
            <a:noFill/>
          </a:ln>
          <a:effectLst/>
        </c:spPr>
      </c:pivotFmt>
      <c:pivotFmt>
        <c:idx val="50"/>
        <c:spPr>
          <a:solidFill>
            <a:srgbClr val="FFEE32"/>
          </a:solidFill>
          <a:ln>
            <a:noFill/>
          </a:ln>
          <a:effectLst/>
        </c:spPr>
      </c:pivotFmt>
      <c:pivotFmt>
        <c:idx val="51"/>
        <c:spPr>
          <a:solidFill>
            <a:schemeClr val="bg1"/>
          </a:solidFill>
          <a:ln>
            <a:noFill/>
          </a:ln>
          <a:effectLst/>
        </c:spPr>
      </c:pivotFmt>
      <c:pivotFmt>
        <c:idx val="52"/>
        <c:spPr>
          <a:solidFill>
            <a:srgbClr val="4361EE"/>
          </a:solidFill>
          <a:ln>
            <a:noFill/>
          </a:ln>
          <a:effectLst/>
        </c:spPr>
      </c:pivotFmt>
      <c:pivotFmt>
        <c:idx val="53"/>
        <c:spPr>
          <a:solidFill>
            <a:srgbClr val="29BF12"/>
          </a:solidFill>
          <a:ln>
            <a:noFill/>
          </a:ln>
          <a:effectLst/>
        </c:spPr>
      </c:pivotFmt>
      <c:pivotFmt>
        <c:idx val="54"/>
        <c:spPr>
          <a:solidFill>
            <a:srgbClr val="FE5D9F"/>
          </a:solidFill>
          <a:ln>
            <a:noFill/>
          </a:ln>
          <a:effectLst/>
        </c:spPr>
      </c:pivotFmt>
      <c:pivotFmt>
        <c:idx val="55"/>
        <c:spPr>
          <a:solidFill>
            <a:schemeClr val="tx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E2AFFF"/>
          </a:solidFill>
          <a:ln>
            <a:noFill/>
          </a:ln>
          <a:effectLst/>
        </c:spPr>
      </c:pivotFmt>
      <c:pivotFmt>
        <c:idx val="58"/>
        <c:spPr>
          <a:solidFill>
            <a:srgbClr val="EF6351"/>
          </a:solidFill>
          <a:ln>
            <a:noFill/>
          </a:ln>
          <a:effectLst/>
        </c:spPr>
      </c:pivotFmt>
      <c:pivotFmt>
        <c:idx val="59"/>
        <c:spPr>
          <a:solidFill>
            <a:srgbClr val="FFEE32"/>
          </a:solidFill>
          <a:ln>
            <a:noFill/>
          </a:ln>
          <a:effectLst/>
        </c:spPr>
      </c:pivotFmt>
      <c:pivotFmt>
        <c:idx val="60"/>
        <c:spPr>
          <a:solidFill>
            <a:schemeClr val="bg1"/>
          </a:solidFill>
          <a:ln>
            <a:noFill/>
          </a:ln>
          <a:effectLst/>
        </c:spPr>
      </c:pivotFmt>
      <c:pivotFmt>
        <c:idx val="61"/>
        <c:spPr>
          <a:solidFill>
            <a:srgbClr val="4361EE"/>
          </a:solidFill>
          <a:ln>
            <a:noFill/>
          </a:ln>
          <a:effectLst/>
        </c:spPr>
      </c:pivotFmt>
      <c:pivotFmt>
        <c:idx val="62"/>
        <c:spPr>
          <a:solidFill>
            <a:srgbClr val="29BF12"/>
          </a:solidFill>
          <a:ln>
            <a:noFill/>
          </a:ln>
          <a:effectLst/>
        </c:spPr>
      </c:pivotFmt>
      <c:pivotFmt>
        <c:idx val="63"/>
        <c:spPr>
          <a:solidFill>
            <a:srgbClr val="FE5D9F"/>
          </a:solidFill>
          <a:ln>
            <a:noFill/>
          </a:ln>
          <a:effectLst/>
        </c:spPr>
      </c:pivotFmt>
      <c:pivotFmt>
        <c:idx val="64"/>
        <c:spPr>
          <a:solidFill>
            <a:schemeClr val="tx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FE5D9F"/>
          </a:solidFill>
          <a:ln>
            <a:noFill/>
          </a:ln>
          <a:effectLst/>
        </c:spPr>
      </c:pivotFmt>
      <c:pivotFmt>
        <c:idx val="67"/>
        <c:spPr>
          <a:solidFill>
            <a:srgbClr val="29BF12"/>
          </a:solidFill>
          <a:ln>
            <a:noFill/>
          </a:ln>
          <a:effectLst/>
        </c:spPr>
      </c:pivotFmt>
      <c:pivotFmt>
        <c:idx val="68"/>
        <c:spPr>
          <a:solidFill>
            <a:srgbClr val="4361EE"/>
          </a:solidFill>
          <a:ln>
            <a:noFill/>
          </a:ln>
          <a:effectLst/>
        </c:spPr>
      </c:pivotFmt>
      <c:pivotFmt>
        <c:idx val="69"/>
        <c:spPr>
          <a:solidFill>
            <a:schemeClr val="bg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fld id="{CC96F379-490C-4A2E-BACC-607A4B2EB124}" type="VALUE">
                  <a:rPr lang="en-US" baseline="0"/>
                  <a:pPr>
                    <a:defRPr sz="1000" b="1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0"/>
        <c:spPr>
          <a:solidFill>
            <a:srgbClr val="FFFF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fld id="{061792F9-7254-49A9-8C4A-F552EA8F51AD}" type="VALUE">
                  <a:rPr lang="en-US" baseline="0"/>
                  <a:pPr>
                    <a:defRPr sz="1000" b="1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1"/>
        <c:spPr>
          <a:solidFill>
            <a:srgbClr val="EDCDF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fld id="{2AF75200-4E0C-4738-8953-D236018482FF}" type="VALUE">
                  <a:rPr lang="en-US" baseline="0"/>
                  <a:pPr>
                    <a:defRPr sz="1000" b="1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2"/>
        <c:spPr>
          <a:solidFill>
            <a:srgbClr val="ED7C2F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fld id="{D2927712-0B04-4548-89CB-1B11CC25111A}" type="VALUE">
                  <a:rPr lang="en-US" baseline="0"/>
                  <a:pPr>
                    <a:defRPr sz="1000" b="1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EDCD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34-4434-9140-336FC94674B6}"/>
              </c:ext>
            </c:extLst>
          </c:dPt>
          <c:dPt>
            <c:idx val="1"/>
            <c:invertIfNegative val="0"/>
            <c:bubble3D val="0"/>
            <c:spPr>
              <a:solidFill>
                <a:srgbClr val="ED7C2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34-4434-9140-336FC94674B6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334-4434-9140-336FC94674B6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334-4434-9140-336FC94674B6}"/>
              </c:ext>
            </c:extLst>
          </c:dPt>
          <c:dPt>
            <c:idx val="4"/>
            <c:invertIfNegative val="0"/>
            <c:bubble3D val="0"/>
            <c:spPr>
              <a:solidFill>
                <a:srgbClr val="4361E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334-4434-9140-336FC94674B6}"/>
              </c:ext>
            </c:extLst>
          </c:dPt>
          <c:dPt>
            <c:idx val="5"/>
            <c:invertIfNegative val="0"/>
            <c:bubble3D val="0"/>
            <c:spPr>
              <a:solidFill>
                <a:srgbClr val="29BF1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334-4434-9140-336FC94674B6}"/>
              </c:ext>
            </c:extLst>
          </c:dPt>
          <c:dPt>
            <c:idx val="6"/>
            <c:invertIfNegative val="0"/>
            <c:bubble3D val="0"/>
            <c:spPr>
              <a:solidFill>
                <a:srgbClr val="FE5D9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334-4434-9140-336FC94674B6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334-4434-9140-336FC94674B6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Cambria" panose="02040503050406030204" pitchFamily="18" charset="0"/>
                        <a:ea typeface="Cambria" panose="02040503050406030204" pitchFamily="18" charset="0"/>
                        <a:cs typeface="+mn-cs"/>
                      </a:defRPr>
                    </a:pPr>
                    <a:fld id="{2AF75200-4E0C-4738-8953-D236018482FF}" type="VALUE">
                      <a:rPr lang="en-US" baseline="0"/>
                      <a:pPr>
                        <a:defRPr sz="1000" b="1">
                          <a:solidFill>
                            <a:sysClr val="windowText" lastClr="000000"/>
                          </a:solidFill>
                          <a:latin typeface="Cambria" panose="02040503050406030204" pitchFamily="18" charset="0"/>
                          <a:ea typeface="Cambria" panose="02040503050406030204" pitchFamily="18" charset="0"/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334-4434-9140-336FC94674B6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Cambria" panose="02040503050406030204" pitchFamily="18" charset="0"/>
                        <a:ea typeface="Cambria" panose="02040503050406030204" pitchFamily="18" charset="0"/>
                        <a:cs typeface="+mn-cs"/>
                      </a:defRPr>
                    </a:pPr>
                    <a:fld id="{D2927712-0B04-4548-89CB-1B11CC25111A}" type="VALUE">
                      <a:rPr lang="en-US" baseline="0"/>
                      <a:pPr>
                        <a:defRPr sz="1000" b="1">
                          <a:solidFill>
                            <a:sysClr val="windowText" lastClr="000000"/>
                          </a:solidFill>
                          <a:latin typeface="Cambria" panose="02040503050406030204" pitchFamily="18" charset="0"/>
                          <a:ea typeface="Cambria" panose="02040503050406030204" pitchFamily="18" charset="0"/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334-4434-9140-336FC94674B6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Cambria" panose="02040503050406030204" pitchFamily="18" charset="0"/>
                        <a:ea typeface="Cambria" panose="02040503050406030204" pitchFamily="18" charset="0"/>
                        <a:cs typeface="+mn-cs"/>
                      </a:defRPr>
                    </a:pPr>
                    <a:fld id="{061792F9-7254-49A9-8C4A-F552EA8F51AD}" type="VALUE">
                      <a:rPr lang="en-US" baseline="0"/>
                      <a:pPr>
                        <a:defRPr sz="1000" b="1">
                          <a:solidFill>
                            <a:sysClr val="windowText" lastClr="000000"/>
                          </a:solidFill>
                          <a:latin typeface="Cambria" panose="02040503050406030204" pitchFamily="18" charset="0"/>
                          <a:ea typeface="Cambria" panose="02040503050406030204" pitchFamily="18" charset="0"/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334-4434-9140-336FC94674B6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Cambria" panose="02040503050406030204" pitchFamily="18" charset="0"/>
                        <a:ea typeface="Cambria" panose="02040503050406030204" pitchFamily="18" charset="0"/>
                        <a:cs typeface="+mn-cs"/>
                      </a:defRPr>
                    </a:pPr>
                    <a:fld id="{CC96F379-490C-4A2E-BACC-607A4B2EB124}" type="VALUE">
                      <a:rPr lang="en-US" baseline="0"/>
                      <a:pPr>
                        <a:defRPr sz="1000" b="1">
                          <a:solidFill>
                            <a:sysClr val="windowText" lastClr="000000"/>
                          </a:solidFill>
                          <a:latin typeface="Cambria" panose="02040503050406030204" pitchFamily="18" charset="0"/>
                          <a:ea typeface="Cambria" panose="02040503050406030204" pitchFamily="18" charset="0"/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6334-4434-9140-336FC94674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Analysis!$A$5:$A$12</c:f>
              <c:strCache>
                <c:ptCount val="8"/>
                <c:pt idx="0">
                  <c:v>Lilac</c:v>
                </c:pt>
                <c:pt idx="1">
                  <c:v>Peach</c:v>
                </c:pt>
                <c:pt idx="2">
                  <c:v>Yellow</c:v>
                </c:pt>
                <c:pt idx="3">
                  <c:v>White</c:v>
                </c:pt>
                <c:pt idx="4">
                  <c:v>Blue</c:v>
                </c:pt>
                <c:pt idx="5">
                  <c:v>Green </c:v>
                </c:pt>
                <c:pt idx="6">
                  <c:v>Pink</c:v>
                </c:pt>
                <c:pt idx="7">
                  <c:v>Black</c:v>
                </c:pt>
              </c:strCache>
            </c:strRef>
          </c:cat>
          <c:val>
            <c:numRef>
              <c:f>Analysis!$B$5:$B$12</c:f>
              <c:numCache>
                <c:formatCode>General</c:formatCode>
                <c:ptCount val="8"/>
                <c:pt idx="0">
                  <c:v>8</c:v>
                </c:pt>
                <c:pt idx="1">
                  <c:v>8</c:v>
                </c:pt>
                <c:pt idx="2">
                  <c:v>11</c:v>
                </c:pt>
                <c:pt idx="3">
                  <c:v>12</c:v>
                </c:pt>
                <c:pt idx="4">
                  <c:v>14</c:v>
                </c:pt>
                <c:pt idx="5">
                  <c:v>19</c:v>
                </c:pt>
                <c:pt idx="6">
                  <c:v>21</c:v>
                </c:pt>
                <c:pt idx="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334-4434-9140-336FC9467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49304943"/>
        <c:axId val="1549309103"/>
      </c:barChart>
      <c:catAx>
        <c:axId val="154930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549309103"/>
        <c:crosses val="autoZero"/>
        <c:auto val="1"/>
        <c:lblAlgn val="ctr"/>
        <c:lblOffset val="100"/>
        <c:noMultiLvlLbl val="0"/>
      </c:catAx>
      <c:valAx>
        <c:axId val="15493091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4930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[JevJaz Sold Products.xlsx]Analysis!PivotTable3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  <c:pivotFmt>
        <c:idx val="4"/>
        <c:spPr>
          <a:solidFill>
            <a:schemeClr val="tx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9BF12"/>
          </a:solidFill>
          <a:ln>
            <a:noFill/>
          </a:ln>
          <a:effectLst/>
        </c:spPr>
      </c:pivotFmt>
      <c:pivotFmt>
        <c:idx val="6"/>
        <c:spPr>
          <a:solidFill>
            <a:srgbClr val="EF233C"/>
          </a:solidFill>
          <a:ln>
            <a:noFill/>
          </a:ln>
          <a:effectLst/>
        </c:spPr>
      </c:pivotFmt>
      <c:pivotFmt>
        <c:idx val="7"/>
        <c:spPr>
          <a:solidFill>
            <a:srgbClr val="FE5D9F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E5D9F"/>
          </a:solidFill>
          <a:ln>
            <a:noFill/>
          </a:ln>
          <a:effectLst/>
        </c:spPr>
      </c:pivotFmt>
      <c:pivotFmt>
        <c:idx val="10"/>
        <c:spPr>
          <a:solidFill>
            <a:srgbClr val="EF233C"/>
          </a:solidFill>
          <a:ln>
            <a:noFill/>
          </a:ln>
          <a:effectLst/>
        </c:spPr>
      </c:pivotFmt>
      <c:pivotFmt>
        <c:idx val="11"/>
        <c:spPr>
          <a:solidFill>
            <a:srgbClr val="29BF12"/>
          </a:solidFill>
          <a:ln>
            <a:noFill/>
          </a:ln>
          <a:effectLst/>
        </c:spPr>
      </c:pivotFmt>
      <c:pivotFmt>
        <c:idx val="12"/>
        <c:spPr>
          <a:solidFill>
            <a:schemeClr val="tx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FF00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E5D9F"/>
          </a:solidFill>
          <a:ln>
            <a:noFill/>
          </a:ln>
          <a:effectLst/>
        </c:spPr>
      </c:pivotFmt>
      <c:pivotFmt>
        <c:idx val="16"/>
        <c:spPr>
          <a:solidFill>
            <a:srgbClr val="EF233C"/>
          </a:solidFill>
          <a:ln>
            <a:noFill/>
          </a:ln>
          <a:effectLst/>
        </c:spPr>
      </c:pivotFmt>
      <c:pivotFmt>
        <c:idx val="17"/>
        <c:spPr>
          <a:solidFill>
            <a:srgbClr val="29BF12"/>
          </a:solidFill>
          <a:ln>
            <a:noFill/>
          </a:ln>
          <a:effectLst/>
        </c:spPr>
      </c:pivotFmt>
      <c:pivotFmt>
        <c:idx val="18"/>
        <c:spPr>
          <a:solidFill>
            <a:schemeClr val="tx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en-US" baseline="0"/>
                  <a:t> </a:t>
                </a:r>
                <a:fld id="{70EE7B55-DA79-4BBF-9349-F9982D171820}" type="VALUE">
                  <a:rPr lang="en-US" baseline="0"/>
                  <a:pPr>
                    <a:defRPr sz="1000" b="1">
                      <a:solidFill>
                        <a:srgbClr val="FFFF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FF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9"/>
        <c:spPr>
          <a:solidFill>
            <a:srgbClr val="FFFF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4035052910052907E-2"/>
          <c:y val="0.32844827586206898"/>
          <c:w val="0.58847460152745801"/>
          <c:h val="0.55598659003831419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Analysis!$B$18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FE5D9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14-40F3-A336-9CA98AA8FDE0}"/>
              </c:ext>
            </c:extLst>
          </c:dPt>
          <c:dPt>
            <c:idx val="1"/>
            <c:invertIfNegative val="0"/>
            <c:bubble3D val="0"/>
            <c:spPr>
              <a:solidFill>
                <a:srgbClr val="EF23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14-40F3-A336-9CA98AA8FDE0}"/>
              </c:ext>
            </c:extLst>
          </c:dPt>
          <c:dPt>
            <c:idx val="2"/>
            <c:invertIfNegative val="0"/>
            <c:bubble3D val="0"/>
            <c:spPr>
              <a:solidFill>
                <a:srgbClr val="29BF1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14-40F3-A336-9CA98AA8FDE0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14-40F3-A336-9CA98AA8FDE0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D14-40F3-A336-9CA98AA8FDE0}"/>
              </c:ext>
            </c:extLst>
          </c:dPt>
          <c:dLbls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rgbClr val="FFFF00"/>
                        </a:solidFill>
                        <a:latin typeface="Cambria" panose="02040503050406030204" pitchFamily="18" charset="0"/>
                        <a:ea typeface="Cambria" panose="02040503050406030204" pitchFamily="18" charset="0"/>
                        <a:cs typeface="+mn-cs"/>
                      </a:defRPr>
                    </a:pPr>
                    <a:r>
                      <a:rPr lang="en-US" baseline="0"/>
                      <a:t> </a:t>
                    </a:r>
                    <a:fld id="{70EE7B55-DA79-4BBF-9349-F9982D171820}" type="VALUE">
                      <a:rPr lang="en-US" baseline="0"/>
                      <a:pPr>
                        <a:defRPr sz="1000" b="1">
                          <a:solidFill>
                            <a:srgbClr val="FFFF00"/>
                          </a:solidFill>
                          <a:latin typeface="Cambria" panose="02040503050406030204" pitchFamily="18" charset="0"/>
                          <a:ea typeface="Cambria" panose="02040503050406030204" pitchFamily="18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FF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9D14-40F3-A336-9CA98AA8FD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Analysis!$A$19:$A$23</c:f>
              <c:strCache>
                <c:ptCount val="5"/>
                <c:pt idx="0">
                  <c:v>Pink</c:v>
                </c:pt>
                <c:pt idx="1">
                  <c:v>Red</c:v>
                </c:pt>
                <c:pt idx="2">
                  <c:v>Green</c:v>
                </c:pt>
                <c:pt idx="3">
                  <c:v>Black</c:v>
                </c:pt>
                <c:pt idx="4">
                  <c:v>Yellow</c:v>
                </c:pt>
              </c:strCache>
            </c:strRef>
          </c:cat>
          <c:val>
            <c:numRef>
              <c:f>Analysis!$B$19:$B$23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14-40F3-A336-9CA98AA8FD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588264655"/>
        <c:axId val="1588262991"/>
      </c:barChart>
      <c:catAx>
        <c:axId val="1588264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262991"/>
        <c:crosses val="autoZero"/>
        <c:auto val="1"/>
        <c:lblAlgn val="ctr"/>
        <c:lblOffset val="100"/>
        <c:noMultiLvlLbl val="0"/>
      </c:catAx>
      <c:valAx>
        <c:axId val="15882629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826465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6501402465170524"/>
          <c:y val="3.9907748810711546E-2"/>
          <c:w val="0.56327523641167287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Sheet14!$X$1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63009A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&quot;₦&quot;#,##0,&quot;k&quot;;\-&quot;₦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80" b="1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2A-4ED1-B285-CB8DF47984A4}"/>
                </c:ext>
              </c:extLst>
            </c:dLbl>
            <c:dLbl>
              <c:idx val="1"/>
              <c:numFmt formatCode="&quot;₦&quot;#,##0,&quot;k&quot;;\-&quot;₦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80" b="1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2A-4ED1-B285-CB8DF47984A4}"/>
                </c:ext>
              </c:extLst>
            </c:dLbl>
            <c:dLbl>
              <c:idx val="2"/>
              <c:numFmt formatCode="&quot;₦&quot;#,##0,&quot;k&quot;;\-&quot;₦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80" b="1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2A-4ED1-B285-CB8DF47984A4}"/>
                </c:ext>
              </c:extLst>
            </c:dLbl>
            <c:dLbl>
              <c:idx val="3"/>
              <c:numFmt formatCode="&quot;₦&quot;#,##0.0,&quot;k&quot;;\-&quot;₦&quot;#,##0.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80" b="1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C2A-4ED1-B285-CB8DF47984A4}"/>
                </c:ext>
              </c:extLst>
            </c:dLbl>
            <c:dLbl>
              <c:idx val="4"/>
              <c:numFmt formatCode="&quot;₦&quot;#,##0.0,&quot;k&quot;;\-&quot;₦&quot;#,##0.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80" b="1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C2A-4ED1-B285-CB8DF47984A4}"/>
                </c:ext>
              </c:extLst>
            </c:dLbl>
            <c:dLbl>
              <c:idx val="5"/>
              <c:numFmt formatCode="&quot;₦&quot;#,##0,&quot;k&quot;;\-&quot;₦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80" b="1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2A-4ED1-B285-CB8DF47984A4}"/>
                </c:ext>
              </c:extLst>
            </c:dLbl>
            <c:dLbl>
              <c:idx val="6"/>
              <c:numFmt formatCode="&quot;₦&quot;#,##0,&quot;k&quot;;\-&quot;₦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80" b="1" i="0" u="none" strike="noStrike" kern="1200" baseline="0">
                      <a:solidFill>
                        <a:schemeClr val="bg1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C2A-4ED1-B285-CB8DF47984A4}"/>
                </c:ext>
              </c:extLst>
            </c:dLbl>
            <c:dLbl>
              <c:idx val="7"/>
              <c:numFmt formatCode="&quot;₦&quot;#,##0,&quot;k&quot;;\-&quot;₦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80" b="1" i="0" u="none" strike="noStrike" kern="1200" baseline="0">
                      <a:solidFill>
                        <a:schemeClr val="bg1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C2A-4ED1-B285-CB8DF47984A4}"/>
                </c:ext>
              </c:extLst>
            </c:dLbl>
            <c:dLbl>
              <c:idx val="8"/>
              <c:numFmt formatCode="&quot;₦&quot;#,##0,&quot;k&quot;;\-&quot;₦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80" b="1" i="0" u="none" strike="noStrike" kern="1200" baseline="0">
                      <a:solidFill>
                        <a:schemeClr val="bg1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C2A-4ED1-B285-CB8DF47984A4}"/>
                </c:ext>
              </c:extLst>
            </c:dLbl>
            <c:dLbl>
              <c:idx val="9"/>
              <c:numFmt formatCode="&quot;₦&quot;#,##0,&quot;k&quot;;\-&quot;₦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80" b="1" i="0" u="none" strike="noStrike" kern="1200" baseline="0">
                      <a:solidFill>
                        <a:schemeClr val="bg1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C2A-4ED1-B285-CB8DF47984A4}"/>
                </c:ext>
              </c:extLst>
            </c:dLbl>
            <c:dLbl>
              <c:idx val="10"/>
              <c:numFmt formatCode="&quot;₦&quot;#,##0,&quot;k&quot;;\-&quot;₦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80" b="1" i="0" u="none" strike="noStrike" kern="1200" baseline="0">
                      <a:solidFill>
                        <a:schemeClr val="bg1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8C2A-4ED1-B285-CB8DF47984A4}"/>
                </c:ext>
              </c:extLst>
            </c:dLbl>
            <c:dLbl>
              <c:idx val="12"/>
              <c:numFmt formatCode="&quot;₦&quot;#,##0,&quot;k&quot;;\-&quot;₦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80" b="1" i="0" u="none" strike="noStrike" kern="1200" baseline="0">
                      <a:solidFill>
                        <a:schemeClr val="bg1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8C2A-4ED1-B285-CB8DF47984A4}"/>
                </c:ext>
              </c:extLst>
            </c:dLbl>
            <c:numFmt formatCode="&quot;₦&quot;#,##0.0,&quot;k&quot;;\-&quot;₦&quot;#,##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80" b="1" i="0" u="none" strike="noStrike" kern="1200" baseline="0">
                    <a:solidFill>
                      <a:schemeClr val="bg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Sheet14!$W$2:$W$14</c:f>
              <c:strCache>
                <c:ptCount val="13"/>
                <c:pt idx="0">
                  <c:v>2pcs Mint Multicoloured Shirt and Short</c:v>
                </c:pt>
                <c:pt idx="1">
                  <c:v>Check Hood Jacket</c:v>
                </c:pt>
                <c:pt idx="2">
                  <c:v>2pcs Wine Jacket &amp; White T-shirt</c:v>
                </c:pt>
                <c:pt idx="3">
                  <c:v>M M</c:v>
                </c:pt>
                <c:pt idx="4">
                  <c:v>Tommy Hilfiger RN</c:v>
                </c:pt>
                <c:pt idx="5">
                  <c:v>Cargo Army Green Denim</c:v>
                </c:pt>
                <c:pt idx="6">
                  <c:v>2pcs Black Jacket &amp; White T-shirt</c:v>
                </c:pt>
                <c:pt idx="7">
                  <c:v>3 Tone Dress Y|P|B Mathudi</c:v>
                </c:pt>
                <c:pt idx="8">
                  <c:v>2pcs YouGotMeThinking T-shirt and Short</c:v>
                </c:pt>
                <c:pt idx="9">
                  <c:v>Denim Cargo Pant with Zip</c:v>
                </c:pt>
                <c:pt idx="10">
                  <c:v>2pcs Naruto Jacket &amp; T-shirt</c:v>
                </c:pt>
                <c:pt idx="11">
                  <c:v>Denim Cargo Block Pant with White Polka Dot Belt</c:v>
                </c:pt>
                <c:pt idx="12">
                  <c:v>Gen-Z (All)</c:v>
                </c:pt>
              </c:strCache>
            </c:strRef>
          </c:cat>
          <c:val>
            <c:numRef>
              <c:f>Sheet14!$X$2:$X$14</c:f>
              <c:numCache>
                <c:formatCode>"₦"#,##0</c:formatCode>
                <c:ptCount val="13"/>
                <c:pt idx="0">
                  <c:v>100000</c:v>
                </c:pt>
                <c:pt idx="1">
                  <c:v>100000</c:v>
                </c:pt>
                <c:pt idx="2">
                  <c:v>105000</c:v>
                </c:pt>
                <c:pt idx="3">
                  <c:v>112500</c:v>
                </c:pt>
                <c:pt idx="4">
                  <c:v>112500</c:v>
                </c:pt>
                <c:pt idx="5">
                  <c:v>120000</c:v>
                </c:pt>
                <c:pt idx="6">
                  <c:v>125000</c:v>
                </c:pt>
                <c:pt idx="7">
                  <c:v>125000</c:v>
                </c:pt>
                <c:pt idx="8">
                  <c:v>135000</c:v>
                </c:pt>
                <c:pt idx="9">
                  <c:v>140000</c:v>
                </c:pt>
                <c:pt idx="10">
                  <c:v>175000</c:v>
                </c:pt>
                <c:pt idx="11">
                  <c:v>240500</c:v>
                </c:pt>
                <c:pt idx="12">
                  <c:v>840000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2A-4ED1-B285-CB8DF4798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8"/>
        <c:axId val="1695631935"/>
        <c:axId val="1695632351"/>
      </c:barChart>
      <c:catAx>
        <c:axId val="1695631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3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95632351"/>
        <c:crosses val="autoZero"/>
        <c:auto val="1"/>
        <c:lblAlgn val="ctr"/>
        <c:lblOffset val="100"/>
        <c:noMultiLvlLbl val="0"/>
      </c:catAx>
      <c:valAx>
        <c:axId val="1695632351"/>
        <c:scaling>
          <c:orientation val="minMax"/>
        </c:scaling>
        <c:delete val="1"/>
        <c:axPos val="b"/>
        <c:numFmt formatCode="&quot;₦&quot;#,##0" sourceLinked="1"/>
        <c:majorTickMark val="none"/>
        <c:minorTickMark val="none"/>
        <c:tickLblPos val="nextTo"/>
        <c:crossAx val="169563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0709667541557304"/>
          <c:y val="0.16638759763463301"/>
          <c:w val="0.54499920709774052"/>
          <c:h val="0.782686256838377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Sheet14!$N$12</c:f>
              <c:strCache>
                <c:ptCount val="1"/>
                <c:pt idx="0">
                  <c:v>Sum of Price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&quot;₦&quot;#,##0,&quot;k&quot;;\-&quot;₦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80" b="0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1D0-4962-81FF-50827567B2A9}"/>
                </c:ext>
              </c:extLst>
            </c:dLbl>
            <c:dLbl>
              <c:idx val="1"/>
              <c:numFmt formatCode="&quot;₦&quot;#,##0,&quot;k&quot;;\-&quot;₦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80" b="0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D0-4962-81FF-50827567B2A9}"/>
                </c:ext>
              </c:extLst>
            </c:dLbl>
            <c:dLbl>
              <c:idx val="2"/>
              <c:numFmt formatCode="&quot;₦&quot;#,##0,&quot;k&quot;;\-&quot;₦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80" b="0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D0-4962-81FF-50827567B2A9}"/>
                </c:ext>
              </c:extLst>
            </c:dLbl>
            <c:dLbl>
              <c:idx val="3"/>
              <c:numFmt formatCode="&quot;₦&quot;#,##0,&quot;k&quot;;\-&quot;₦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80" b="0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D0-4962-81FF-50827567B2A9}"/>
                </c:ext>
              </c:extLst>
            </c:dLbl>
            <c:numFmt formatCode="&quot;₦&quot;#,##0,&quot;k&quot;;\-&quot;₦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80" b="0" i="0" u="none" strike="noStrike" kern="1200" baseline="0">
                    <a:solidFill>
                      <a:schemeClr val="bg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Sheet14!$M$13:$M$19</c:f>
              <c:strCache>
                <c:ptCount val="7"/>
                <c:pt idx="0">
                  <c:v>Beautiful Shinny Shoes</c:v>
                </c:pt>
                <c:pt idx="1">
                  <c:v>White Sneakers</c:v>
                </c:pt>
                <c:pt idx="2">
                  <c:v>Timbz Boot (Levis)</c:v>
                </c:pt>
                <c:pt idx="3">
                  <c:v>Half Shoe (Polo)</c:v>
                </c:pt>
                <c:pt idx="4">
                  <c:v>Radit Sneakers</c:v>
                </c:pt>
                <c:pt idx="5">
                  <c:v>White DooDogs Sneakers (Rainbow)</c:v>
                </c:pt>
                <c:pt idx="6">
                  <c:v>Nike Sneakers</c:v>
                </c:pt>
              </c:strCache>
            </c:strRef>
          </c:cat>
          <c:val>
            <c:numRef>
              <c:f>Sheet14!$N$13:$N$19</c:f>
              <c:numCache>
                <c:formatCode>"₦"#,##0</c:formatCode>
                <c:ptCount val="7"/>
                <c:pt idx="0">
                  <c:v>37000</c:v>
                </c:pt>
                <c:pt idx="1">
                  <c:v>42000</c:v>
                </c:pt>
                <c:pt idx="2">
                  <c:v>54000</c:v>
                </c:pt>
                <c:pt idx="3">
                  <c:v>60000</c:v>
                </c:pt>
                <c:pt idx="4">
                  <c:v>100000</c:v>
                </c:pt>
                <c:pt idx="5">
                  <c:v>180000</c:v>
                </c:pt>
                <c:pt idx="6">
                  <c:v>490000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D0-4962-81FF-50827567B2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2"/>
        <c:axId val="1553624911"/>
        <c:axId val="1553629071"/>
      </c:barChart>
      <c:catAx>
        <c:axId val="1553624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3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553629071"/>
        <c:crosses val="autoZero"/>
        <c:auto val="1"/>
        <c:lblAlgn val="ctr"/>
        <c:lblOffset val="100"/>
        <c:noMultiLvlLbl val="0"/>
      </c:catAx>
      <c:valAx>
        <c:axId val="1553629071"/>
        <c:scaling>
          <c:orientation val="minMax"/>
        </c:scaling>
        <c:delete val="1"/>
        <c:axPos val="b"/>
        <c:numFmt formatCode="&quot;₦&quot;#,##0" sourceLinked="1"/>
        <c:majorTickMark val="none"/>
        <c:minorTickMark val="none"/>
        <c:tickLblPos val="nextTo"/>
        <c:crossAx val="155362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[JevJaz Sold Products.xlsx]Analysis!PivotTable14</c:name>
    <c:fmtId val="9"/>
  </c:pivotSource>
  <c:chart>
    <c:autoTitleDeleted val="1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2A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2A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CD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CD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DCD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DCD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DCD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869531443098759E-2"/>
          <c:y val="8.6111190646623717E-2"/>
          <c:w val="0.79472140762463339"/>
          <c:h val="0.811777618706752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Analysis!$Q$4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CD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Analysis!$P$5:$P$11</c:f>
              <c:strCache>
                <c:ptCount val="7"/>
                <c:pt idx="0">
                  <c:v>7yrs</c:v>
                </c:pt>
                <c:pt idx="1">
                  <c:v>9yrs</c:v>
                </c:pt>
                <c:pt idx="2">
                  <c:v>5yrs</c:v>
                </c:pt>
                <c:pt idx="3">
                  <c:v>8yrs</c:v>
                </c:pt>
                <c:pt idx="4">
                  <c:v>11yrs</c:v>
                </c:pt>
                <c:pt idx="5">
                  <c:v>6yrs</c:v>
                </c:pt>
                <c:pt idx="6">
                  <c:v>10yrs</c:v>
                </c:pt>
              </c:strCache>
            </c:strRef>
          </c:cat>
          <c:val>
            <c:numRef>
              <c:f>Analysis!$Q$5:$Q$11</c:f>
              <c:numCache>
                <c:formatCode>General</c:formatCode>
                <c:ptCount val="7"/>
                <c:pt idx="0">
                  <c:v>29</c:v>
                </c:pt>
                <c:pt idx="1">
                  <c:v>28</c:v>
                </c:pt>
                <c:pt idx="2">
                  <c:v>27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E-460E-A60F-466EA1B2FA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8"/>
        <c:axId val="1518155935"/>
        <c:axId val="1518147199"/>
      </c:barChart>
      <c:catAx>
        <c:axId val="151815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80" b="1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518147199"/>
        <c:crosses val="autoZero"/>
        <c:auto val="1"/>
        <c:lblAlgn val="ctr"/>
        <c:lblOffset val="100"/>
        <c:noMultiLvlLbl val="0"/>
      </c:catAx>
      <c:valAx>
        <c:axId val="15181471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815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[JevJaz Sold Products.xlsx]Analysis!PivotTable15</c:name>
    <c:fmtId val="6"/>
  </c:pivotSource>
  <c:chart>
    <c:autoTitleDeleted val="1"/>
    <c:pivotFmts>
      <c:pivotFmt>
        <c:idx val="0"/>
        <c:spPr>
          <a:solidFill>
            <a:srgbClr val="63009A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63009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50" b="1" i="0" u="none" strike="noStrike" kern="1200" baseline="0">
                  <a:solidFill>
                    <a:schemeClr val="bg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009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50" b="1" i="0" u="none" strike="noStrike" kern="1200" baseline="0">
                  <a:solidFill>
                    <a:schemeClr val="bg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009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50" b="1" i="0" u="none" strike="noStrike" kern="1200" baseline="0">
                  <a:solidFill>
                    <a:schemeClr val="bg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2A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5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2AF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5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DCD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5.0925925925925923E-2"/>
          <c:w val="0.78888888888888886"/>
          <c:h val="0.841250000000000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Analysis!$T$4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CD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Analysis!$S$5:$S$12</c:f>
              <c:strCache>
                <c:ptCount val="8"/>
                <c:pt idx="0">
                  <c:v>33</c:v>
                </c:pt>
                <c:pt idx="1">
                  <c:v>35</c:v>
                </c:pt>
                <c:pt idx="2">
                  <c:v>39</c:v>
                </c:pt>
                <c:pt idx="3">
                  <c:v>28</c:v>
                </c:pt>
                <c:pt idx="4">
                  <c:v>34</c:v>
                </c:pt>
                <c:pt idx="5">
                  <c:v>32</c:v>
                </c:pt>
                <c:pt idx="6">
                  <c:v>29</c:v>
                </c:pt>
                <c:pt idx="7">
                  <c:v>37</c:v>
                </c:pt>
              </c:strCache>
            </c:strRef>
          </c:cat>
          <c:val>
            <c:numRef>
              <c:f>Analysis!$T$5:$T$12</c:f>
              <c:numCache>
                <c:formatCode>General</c:formatCode>
                <c:ptCount val="8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6-4AE4-9133-5D416E430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8"/>
        <c:axId val="1282575519"/>
        <c:axId val="1282572191"/>
      </c:barChart>
      <c:catAx>
        <c:axId val="128257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1" i="0" u="none" strike="noStrike" kern="1200" baseline="0">
                <a:solidFill>
                  <a:schemeClr val="bg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282572191"/>
        <c:crosses val="autoZero"/>
        <c:auto val="1"/>
        <c:lblAlgn val="ctr"/>
        <c:lblOffset val="100"/>
        <c:noMultiLvlLbl val="0"/>
      </c:catAx>
      <c:valAx>
        <c:axId val="12825721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8257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129395218002812E-2"/>
          <c:y val="7.2463730528290166E-2"/>
          <c:w val="0.97187060478199716"/>
          <c:h val="0.7776680995154733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7B2CB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7B2CBF"/>
              </a:solidFill>
              <a:ln w="12700">
                <a:solidFill>
                  <a:srgbClr val="EDCDFF"/>
                </a:solidFill>
              </a:ln>
              <a:effectLst/>
            </c:spPr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5FA1-46C7-97C4-65AF859BCE80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5FA1-46C7-97C4-65AF859BCE80}"/>
              </c:ext>
            </c:extLst>
          </c:dPt>
          <c:dLbls>
            <c:dLbl>
              <c:idx val="0"/>
              <c:numFmt formatCode="&quot;₦&quot;0.00,,\ 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55" b="1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FA1-46C7-97C4-65AF859BCE80}"/>
                </c:ext>
              </c:extLst>
            </c:dLbl>
            <c:dLbl>
              <c:idx val="1"/>
              <c:numFmt formatCode="&quot;₦&quot;0.00,,\ &quot;M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A1-46C7-97C4-65AF859BCE80}"/>
                </c:ext>
              </c:extLst>
            </c:dLbl>
            <c:dLbl>
              <c:idx val="2"/>
              <c:numFmt formatCode="&quot;₦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A1-46C7-97C4-65AF859BCE80}"/>
                </c:ext>
              </c:extLst>
            </c:dLbl>
            <c:dLbl>
              <c:idx val="3"/>
              <c:numFmt formatCode="&quot;₦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FA1-46C7-97C4-65AF859BCE80}"/>
                </c:ext>
              </c:extLst>
            </c:dLbl>
            <c:dLbl>
              <c:idx val="4"/>
              <c:numFmt formatCode="&quot;₦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55" b="1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A1-46C7-97C4-65AF859BCE80}"/>
                </c:ext>
              </c:extLst>
            </c:dLbl>
            <c:dLbl>
              <c:idx val="5"/>
              <c:numFmt formatCode="&quot;₦&quot;#,##0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Cambria" panose="02040503050406030204" pitchFamily="18" charset="0"/>
                      <a:ea typeface="Cambria" panose="02040503050406030204" pitchFamily="18" charset="0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FA1-46C7-97C4-65AF859BCE80}"/>
                </c:ext>
              </c:extLst>
            </c:dLbl>
            <c:numFmt formatCode="&quot;₦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Analysis!$AR$14:$AR$19</c:f>
              <c:strCache>
                <c:ptCount val="6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Thur</c:v>
                </c:pt>
                <c:pt idx="5">
                  <c:v>Fri</c:v>
                </c:pt>
              </c:strCache>
            </c:strRef>
          </c:cat>
          <c:val>
            <c:numRef>
              <c:f>Analysis!$AS$14:$AS$19</c:f>
              <c:numCache>
                <c:formatCode>"₦"#,##0</c:formatCode>
                <c:ptCount val="6"/>
                <c:pt idx="0">
                  <c:v>3557500</c:v>
                </c:pt>
                <c:pt idx="1">
                  <c:v>1725000</c:v>
                </c:pt>
                <c:pt idx="2">
                  <c:v>338500</c:v>
                </c:pt>
                <c:pt idx="3">
                  <c:v>398000</c:v>
                </c:pt>
                <c:pt idx="4">
                  <c:v>30000</c:v>
                </c:pt>
                <c:pt idx="5">
                  <c:v>649500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A1-46C7-97C4-65AF859BC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9224303"/>
        <c:axId val="1699224719"/>
      </c:lineChart>
      <c:catAx>
        <c:axId val="169922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99224719"/>
        <c:crosses val="autoZero"/>
        <c:auto val="1"/>
        <c:lblAlgn val="ctr"/>
        <c:lblOffset val="100"/>
        <c:noMultiLvlLbl val="0"/>
      </c:catAx>
      <c:valAx>
        <c:axId val="1699224719"/>
        <c:scaling>
          <c:orientation val="minMax"/>
        </c:scaling>
        <c:delete val="1"/>
        <c:axPos val="l"/>
        <c:numFmt formatCode="&quot;₦&quot;#,##0" sourceLinked="1"/>
        <c:majorTickMark val="none"/>
        <c:minorTickMark val="none"/>
        <c:tickLblPos val="nextTo"/>
        <c:crossAx val="169922430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image" Target="../media/image10.svg"/><Relationship Id="rId18" Type="http://schemas.microsoft.com/office/2007/relationships/hdphoto" Target="../media/hdphoto1.wdp"/><Relationship Id="rId26" Type="http://schemas.openxmlformats.org/officeDocument/2006/relationships/image" Target="../media/image19.svg"/><Relationship Id="rId3" Type="http://schemas.openxmlformats.org/officeDocument/2006/relationships/chart" Target="../charts/chart1.xml"/><Relationship Id="rId21" Type="http://schemas.openxmlformats.org/officeDocument/2006/relationships/image" Target="../media/image15.svg"/><Relationship Id="rId7" Type="http://schemas.openxmlformats.org/officeDocument/2006/relationships/image" Target="../media/image6.svg"/><Relationship Id="rId12" Type="http://schemas.openxmlformats.org/officeDocument/2006/relationships/image" Target="../media/image9.png"/><Relationship Id="rId17" Type="http://schemas.openxmlformats.org/officeDocument/2006/relationships/image" Target="../media/image13.png"/><Relationship Id="rId25" Type="http://schemas.openxmlformats.org/officeDocument/2006/relationships/image" Target="../media/image18.png"/><Relationship Id="rId2" Type="http://schemas.openxmlformats.org/officeDocument/2006/relationships/image" Target="../media/image2.svg"/><Relationship Id="rId16" Type="http://schemas.openxmlformats.org/officeDocument/2006/relationships/chart" Target="../charts/chart4.xml"/><Relationship Id="rId20" Type="http://schemas.openxmlformats.org/officeDocument/2006/relationships/image" Target="../media/image14.png"/><Relationship Id="rId29" Type="http://schemas.openxmlformats.org/officeDocument/2006/relationships/image" Target="../media/image21.sv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chart" Target="../charts/chart3.xml"/><Relationship Id="rId24" Type="http://schemas.openxmlformats.org/officeDocument/2006/relationships/chart" Target="../charts/chart6.xml"/><Relationship Id="rId5" Type="http://schemas.openxmlformats.org/officeDocument/2006/relationships/image" Target="../media/image4.svg"/><Relationship Id="rId15" Type="http://schemas.openxmlformats.org/officeDocument/2006/relationships/image" Target="../media/image12.svg"/><Relationship Id="rId23" Type="http://schemas.openxmlformats.org/officeDocument/2006/relationships/image" Target="../media/image17.svg"/><Relationship Id="rId28" Type="http://schemas.openxmlformats.org/officeDocument/2006/relationships/image" Target="../media/image20.png"/><Relationship Id="rId10" Type="http://schemas.openxmlformats.org/officeDocument/2006/relationships/image" Target="../media/image8.png"/><Relationship Id="rId19" Type="http://schemas.openxmlformats.org/officeDocument/2006/relationships/chart" Target="../charts/chart5.xml"/><Relationship Id="rId4" Type="http://schemas.openxmlformats.org/officeDocument/2006/relationships/image" Target="../media/image3.png"/><Relationship Id="rId9" Type="http://schemas.openxmlformats.org/officeDocument/2006/relationships/image" Target="../media/image7.png"/><Relationship Id="rId14" Type="http://schemas.openxmlformats.org/officeDocument/2006/relationships/image" Target="../media/image11.png"/><Relationship Id="rId22" Type="http://schemas.openxmlformats.org/officeDocument/2006/relationships/image" Target="../media/image16.png"/><Relationship Id="rId2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22860</xdr:rowOff>
    </xdr:from>
    <xdr:to>
      <xdr:col>23</xdr:col>
      <xdr:colOff>174420</xdr:colOff>
      <xdr:row>2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46F75AB-C77E-43C5-8AF4-0CC0F22720D9}"/>
            </a:ext>
          </a:extLst>
        </xdr:cNvPr>
        <xdr:cNvSpPr/>
      </xdr:nvSpPr>
      <xdr:spPr>
        <a:xfrm>
          <a:off x="7620" y="22860"/>
          <a:ext cx="14187600" cy="387773"/>
        </a:xfrm>
        <a:prstGeom prst="rect">
          <a:avLst/>
        </a:prstGeom>
        <a:solidFill>
          <a:srgbClr val="99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38100</xdr:colOff>
      <xdr:row>0</xdr:row>
      <xdr:rowOff>7620</xdr:rowOff>
    </xdr:from>
    <xdr:to>
      <xdr:col>20</xdr:col>
      <xdr:colOff>182880</xdr:colOff>
      <xdr:row>2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AA7F836-47D0-40D8-A0E1-76827B7BDF62}"/>
            </a:ext>
          </a:extLst>
        </xdr:cNvPr>
        <xdr:cNvSpPr txBox="1"/>
      </xdr:nvSpPr>
      <xdr:spPr>
        <a:xfrm>
          <a:off x="3695700" y="7620"/>
          <a:ext cx="8679180" cy="373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i="0"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JevJaz</a:t>
          </a:r>
          <a:r>
            <a:rPr lang="en-US" sz="2000" b="0" i="0"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lang="en-US" sz="2000" b="1" i="0"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Kids</a:t>
          </a:r>
          <a:r>
            <a:rPr lang="en-US" sz="2000" b="0" i="0"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lang="en-US" sz="2000" b="1" i="0"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Store</a:t>
          </a:r>
          <a:r>
            <a:rPr lang="en-US" sz="1700" b="1" i="0" baseline="0"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lang="en-US" sz="1800" b="1" i="0" baseline="0"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</a:t>
          </a:r>
          <a:r>
            <a:rPr lang="en-US" sz="1800" b="1" i="0"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ales Data Overview </a:t>
          </a:r>
          <a:r>
            <a:rPr lang="en-US" sz="1700" b="1" i="0"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for </a:t>
          </a:r>
          <a:r>
            <a:rPr lang="en-US" sz="2000" b="1" i="0"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October</a:t>
          </a:r>
        </a:p>
        <a:p>
          <a:endParaRPr lang="en-US" sz="2000" b="1" i="0">
            <a:solidFill>
              <a:schemeClr val="bg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endParaRPr lang="en-US" sz="2000" b="1" i="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7620</xdr:rowOff>
    </xdr:from>
    <xdr:to>
      <xdr:col>7</xdr:col>
      <xdr:colOff>412800</xdr:colOff>
      <xdr:row>4</xdr:row>
      <xdr:rowOff>37860</xdr:rowOff>
    </xdr:to>
    <xdr:grpSp>
      <xdr:nvGrpSpPr>
        <xdr:cNvPr id="5147" name="Group 5146">
          <a:extLst>
            <a:ext uri="{FF2B5EF4-FFF2-40B4-BE49-F238E27FC236}">
              <a16:creationId xmlns:a16="http://schemas.microsoft.com/office/drawing/2014/main" id="{9A32DB04-EF8B-462D-A2F3-09A4B61D23BB}"/>
            </a:ext>
          </a:extLst>
        </xdr:cNvPr>
        <xdr:cNvGrpSpPr/>
      </xdr:nvGrpSpPr>
      <xdr:grpSpPr>
        <a:xfrm>
          <a:off x="0" y="380153"/>
          <a:ext cx="4680000" cy="402774"/>
          <a:chOff x="0" y="373380"/>
          <a:chExt cx="4680000" cy="396000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E0F58672-E85B-46DF-A5DA-63411EFCA361}"/>
              </a:ext>
            </a:extLst>
          </xdr:cNvPr>
          <xdr:cNvSpPr/>
        </xdr:nvSpPr>
        <xdr:spPr>
          <a:xfrm flipH="1">
            <a:off x="0" y="373380"/>
            <a:ext cx="4617097" cy="396000"/>
          </a:xfrm>
          <a:prstGeom prst="roundRect">
            <a:avLst/>
          </a:prstGeom>
          <a:solidFill>
            <a:srgbClr val="9900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9DA7FAC0-006F-4BC3-8517-527810987F9E}"/>
              </a:ext>
            </a:extLst>
          </xdr:cNvPr>
          <xdr:cNvSpPr/>
        </xdr:nvSpPr>
        <xdr:spPr>
          <a:xfrm flipH="1">
            <a:off x="62903" y="373380"/>
            <a:ext cx="4617097" cy="396000"/>
          </a:xfrm>
          <a:prstGeom prst="roundRect">
            <a:avLst/>
          </a:prstGeom>
          <a:solidFill>
            <a:srgbClr val="E2A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oneCellAnchor>
    <xdr:from>
      <xdr:col>0</xdr:col>
      <xdr:colOff>571500</xdr:colOff>
      <xdr:row>1</xdr:row>
      <xdr:rowOff>167640</xdr:rowOff>
    </xdr:from>
    <xdr:ext cx="4152900" cy="43349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2687756-D4C1-44CD-9DD3-987AA7DA5E53}"/>
            </a:ext>
          </a:extLst>
        </xdr:cNvPr>
        <xdr:cNvSpPr txBox="1"/>
      </xdr:nvSpPr>
      <xdr:spPr>
        <a:xfrm>
          <a:off x="571500" y="353907"/>
          <a:ext cx="4152900" cy="4334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500" b="1" i="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Total</a:t>
          </a:r>
          <a:r>
            <a:rPr lang="en-US" sz="1500" b="0" i="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US" sz="1500" b="1" i="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Sales Revenue </a:t>
          </a:r>
          <a:r>
            <a:rPr lang="en-US" sz="20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US" sz="20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 b="1" i="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₦7,361,500</a:t>
          </a:r>
        </a:p>
        <a:p>
          <a:endParaRPr lang="en-US" sz="24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oneCellAnchor>
  <xdr:twoCellAnchor>
    <xdr:from>
      <xdr:col>15</xdr:col>
      <xdr:colOff>312420</xdr:colOff>
      <xdr:row>2</xdr:row>
      <xdr:rowOff>15240</xdr:rowOff>
    </xdr:from>
    <xdr:to>
      <xdr:col>23</xdr:col>
      <xdr:colOff>187620</xdr:colOff>
      <xdr:row>4</xdr:row>
      <xdr:rowOff>45480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5A621119-49B0-42DA-93A9-FA77CF2B3EE7}"/>
            </a:ext>
          </a:extLst>
        </xdr:cNvPr>
        <xdr:cNvGrpSpPr/>
      </xdr:nvGrpSpPr>
      <xdr:grpSpPr>
        <a:xfrm>
          <a:off x="9456420" y="387773"/>
          <a:ext cx="4752000" cy="402774"/>
          <a:chOff x="9456420" y="381000"/>
          <a:chExt cx="4680000" cy="396000"/>
        </a:xfrm>
      </xdr:grpSpPr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C4DDEE3D-888A-4022-8D80-3882F7BA3BE9}"/>
              </a:ext>
            </a:extLst>
          </xdr:cNvPr>
          <xdr:cNvSpPr/>
        </xdr:nvSpPr>
        <xdr:spPr>
          <a:xfrm>
            <a:off x="9519323" y="381000"/>
            <a:ext cx="4617097" cy="396000"/>
          </a:xfrm>
          <a:prstGeom prst="roundRect">
            <a:avLst/>
          </a:prstGeom>
          <a:solidFill>
            <a:srgbClr val="9900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FCE0364E-EBCC-4471-931D-5FA2EDF00862}"/>
              </a:ext>
            </a:extLst>
          </xdr:cNvPr>
          <xdr:cNvSpPr/>
        </xdr:nvSpPr>
        <xdr:spPr>
          <a:xfrm>
            <a:off x="9456420" y="381000"/>
            <a:ext cx="4617097" cy="396000"/>
          </a:xfrm>
          <a:prstGeom prst="roundRect">
            <a:avLst/>
          </a:prstGeom>
          <a:solidFill>
            <a:srgbClr val="E2A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541020</xdr:colOff>
      <xdr:row>4</xdr:row>
      <xdr:rowOff>91440</xdr:rowOff>
    </xdr:from>
    <xdr:to>
      <xdr:col>13</xdr:col>
      <xdr:colOff>63420</xdr:colOff>
      <xdr:row>16</xdr:row>
      <xdr:rowOff>56880</xdr:rowOff>
    </xdr:to>
    <xdr:grpSp>
      <xdr:nvGrpSpPr>
        <xdr:cNvPr id="5141" name="Group 5140">
          <a:extLst>
            <a:ext uri="{FF2B5EF4-FFF2-40B4-BE49-F238E27FC236}">
              <a16:creationId xmlns:a16="http://schemas.microsoft.com/office/drawing/2014/main" id="{949AC103-48BD-4EAA-8D0E-999186FED2CA}"/>
            </a:ext>
          </a:extLst>
        </xdr:cNvPr>
        <xdr:cNvGrpSpPr/>
      </xdr:nvGrpSpPr>
      <xdr:grpSpPr>
        <a:xfrm>
          <a:off x="1760220" y="836507"/>
          <a:ext cx="6228000" cy="2200640"/>
          <a:chOff x="1752600" y="838200"/>
          <a:chExt cx="6167518" cy="2160000"/>
        </a:xfrm>
      </xdr:grpSpPr>
      <xdr:sp macro="" textlink="">
        <xdr:nvSpPr>
          <xdr:cNvPr id="31" name="Rectangle: Rounded Corners 30">
            <a:extLst>
              <a:ext uri="{FF2B5EF4-FFF2-40B4-BE49-F238E27FC236}">
                <a16:creationId xmlns:a16="http://schemas.microsoft.com/office/drawing/2014/main" id="{E65A9FEB-078C-400A-8919-73907EC6E82F}"/>
              </a:ext>
            </a:extLst>
          </xdr:cNvPr>
          <xdr:cNvSpPr/>
        </xdr:nvSpPr>
        <xdr:spPr>
          <a:xfrm flipH="1">
            <a:off x="1752600" y="838200"/>
            <a:ext cx="4984560" cy="2160000"/>
          </a:xfrm>
          <a:prstGeom prst="roundRect">
            <a:avLst/>
          </a:prstGeom>
          <a:solidFill>
            <a:srgbClr val="E2A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B67D450F-B315-4E1F-9266-D73AF9AD8ADF}"/>
              </a:ext>
            </a:extLst>
          </xdr:cNvPr>
          <xdr:cNvSpPr/>
        </xdr:nvSpPr>
        <xdr:spPr>
          <a:xfrm flipH="1">
            <a:off x="1851660" y="838200"/>
            <a:ext cx="6068458" cy="2160000"/>
          </a:xfrm>
          <a:prstGeom prst="roundRect">
            <a:avLst/>
          </a:prstGeom>
          <a:solidFill>
            <a:srgbClr val="9900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13</xdr:col>
      <xdr:colOff>50800</xdr:colOff>
      <xdr:row>16</xdr:row>
      <xdr:rowOff>87631</xdr:rowOff>
    </xdr:from>
    <xdr:to>
      <xdr:col>23</xdr:col>
      <xdr:colOff>231061</xdr:colOff>
      <xdr:row>37</xdr:row>
      <xdr:rowOff>27152</xdr:rowOff>
    </xdr:to>
    <xdr:grpSp>
      <xdr:nvGrpSpPr>
        <xdr:cNvPr id="5151" name="Group 5150">
          <a:extLst>
            <a:ext uri="{FF2B5EF4-FFF2-40B4-BE49-F238E27FC236}">
              <a16:creationId xmlns:a16="http://schemas.microsoft.com/office/drawing/2014/main" id="{2163ABB2-F9CE-4EC4-A61E-89E5805628B8}"/>
            </a:ext>
          </a:extLst>
        </xdr:cNvPr>
        <xdr:cNvGrpSpPr/>
      </xdr:nvGrpSpPr>
      <xdr:grpSpPr>
        <a:xfrm flipH="1">
          <a:off x="7975600" y="3067898"/>
          <a:ext cx="6276261" cy="3851121"/>
          <a:chOff x="8275322" y="3036571"/>
          <a:chExt cx="6024299" cy="3780001"/>
        </a:xfrm>
      </xdr:grpSpPr>
      <xdr:sp macro="" textlink="">
        <xdr:nvSpPr>
          <xdr:cNvPr id="41" name="Rectangle: Rounded Corners 40">
            <a:extLst>
              <a:ext uri="{FF2B5EF4-FFF2-40B4-BE49-F238E27FC236}">
                <a16:creationId xmlns:a16="http://schemas.microsoft.com/office/drawing/2014/main" id="{52753369-8837-41C0-96C4-454778880A1C}"/>
              </a:ext>
            </a:extLst>
          </xdr:cNvPr>
          <xdr:cNvSpPr/>
        </xdr:nvSpPr>
        <xdr:spPr>
          <a:xfrm flipH="1">
            <a:off x="8275322" y="3036571"/>
            <a:ext cx="5928292" cy="3780001"/>
          </a:xfrm>
          <a:prstGeom prst="roundRect">
            <a:avLst/>
          </a:prstGeom>
          <a:solidFill>
            <a:srgbClr val="9900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2" name="Rectangle: Rounded Corners 41">
            <a:extLst>
              <a:ext uri="{FF2B5EF4-FFF2-40B4-BE49-F238E27FC236}">
                <a16:creationId xmlns:a16="http://schemas.microsoft.com/office/drawing/2014/main" id="{0EE697D5-FC35-45FE-8796-71A5D7403DFC}"/>
              </a:ext>
            </a:extLst>
          </xdr:cNvPr>
          <xdr:cNvSpPr/>
        </xdr:nvSpPr>
        <xdr:spPr>
          <a:xfrm flipH="1">
            <a:off x="8371329" y="3036571"/>
            <a:ext cx="5928292" cy="3780001"/>
          </a:xfrm>
          <a:prstGeom prst="roundRect">
            <a:avLst/>
          </a:prstGeom>
          <a:solidFill>
            <a:srgbClr val="E2A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0</xdr:col>
      <xdr:colOff>175260</xdr:colOff>
      <xdr:row>1</xdr:row>
      <xdr:rowOff>144780</xdr:rowOff>
    </xdr:from>
    <xdr:to>
      <xdr:col>0</xdr:col>
      <xdr:colOff>571500</xdr:colOff>
      <xdr:row>3</xdr:row>
      <xdr:rowOff>175260</xdr:rowOff>
    </xdr:to>
    <xdr:pic>
      <xdr:nvPicPr>
        <xdr:cNvPr id="53" name="Graphic 52" descr="Money with solid fill">
          <a:extLst>
            <a:ext uri="{FF2B5EF4-FFF2-40B4-BE49-F238E27FC236}">
              <a16:creationId xmlns:a16="http://schemas.microsoft.com/office/drawing/2014/main" id="{0537AA77-0D9E-48A1-9DFE-9532D67DA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5260" y="331047"/>
          <a:ext cx="396240" cy="403013"/>
        </a:xfrm>
        <a:prstGeom prst="rect">
          <a:avLst/>
        </a:prstGeom>
      </xdr:spPr>
    </xdr:pic>
    <xdr:clientData/>
  </xdr:twoCellAnchor>
  <xdr:twoCellAnchor>
    <xdr:from>
      <xdr:col>3</xdr:col>
      <xdr:colOff>160020</xdr:colOff>
      <xdr:row>6</xdr:row>
      <xdr:rowOff>160020</xdr:rowOff>
    </xdr:from>
    <xdr:to>
      <xdr:col>12</xdr:col>
      <xdr:colOff>586740</xdr:colOff>
      <xdr:row>16</xdr:row>
      <xdr:rowOff>60960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5FD4E94A-F425-4941-8440-3F3C50163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121920</xdr:colOff>
      <xdr:row>4</xdr:row>
      <xdr:rowOff>106680</xdr:rowOff>
    </xdr:from>
    <xdr:to>
      <xdr:col>4</xdr:col>
      <xdr:colOff>459922</xdr:colOff>
      <xdr:row>7</xdr:row>
      <xdr:rowOff>70407</xdr:rowOff>
    </xdr:to>
    <xdr:grpSp>
      <xdr:nvGrpSpPr>
        <xdr:cNvPr id="5133" name="Group 5132">
          <a:extLst>
            <a:ext uri="{FF2B5EF4-FFF2-40B4-BE49-F238E27FC236}">
              <a16:creationId xmlns:a16="http://schemas.microsoft.com/office/drawing/2014/main" id="{61C68716-30F4-471E-9388-89DBA42B4BE2}"/>
            </a:ext>
          </a:extLst>
        </xdr:cNvPr>
        <xdr:cNvGrpSpPr/>
      </xdr:nvGrpSpPr>
      <xdr:grpSpPr>
        <a:xfrm>
          <a:off x="1950720" y="851747"/>
          <a:ext cx="947602" cy="522527"/>
          <a:chOff x="2034540" y="762000"/>
          <a:chExt cx="947602" cy="512367"/>
        </a:xfrm>
      </xdr:grpSpPr>
      <xdr:sp macro="" textlink="">
        <xdr:nvSpPr>
          <xdr:cNvPr id="5124" name="TextBox 5123">
            <a:extLst>
              <a:ext uri="{FF2B5EF4-FFF2-40B4-BE49-F238E27FC236}">
                <a16:creationId xmlns:a16="http://schemas.microsoft.com/office/drawing/2014/main" id="{86B58569-B496-43B1-9366-FE5CB3E981A3}"/>
              </a:ext>
            </a:extLst>
          </xdr:cNvPr>
          <xdr:cNvSpPr txBox="1"/>
        </xdr:nvSpPr>
        <xdr:spPr>
          <a:xfrm>
            <a:off x="2034540" y="762000"/>
            <a:ext cx="947602" cy="5123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400" b="0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👕</a:t>
            </a:r>
            <a:endParaRPr lang="en-US" sz="1400"/>
          </a:p>
        </xdr:txBody>
      </xdr:sp>
      <xdr:pic>
        <xdr:nvPicPr>
          <xdr:cNvPr id="5126" name="Graphic 5125" descr="Pants with solid fill">
            <a:extLst>
              <a:ext uri="{FF2B5EF4-FFF2-40B4-BE49-F238E27FC236}">
                <a16:creationId xmlns:a16="http://schemas.microsoft.com/office/drawing/2014/main" id="{2C6CDEFF-C84D-451A-92D0-E2637B579F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2142254" y="1015207"/>
            <a:ext cx="222850" cy="198000"/>
          </a:xfrm>
          <a:prstGeom prst="rect">
            <a:avLst/>
          </a:prstGeom>
        </xdr:spPr>
      </xdr:pic>
      <xdr:pic>
        <xdr:nvPicPr>
          <xdr:cNvPr id="5130" name="Graphic 5129" descr="Dress with solid fill">
            <a:extLst>
              <a:ext uri="{FF2B5EF4-FFF2-40B4-BE49-F238E27FC236}">
                <a16:creationId xmlns:a16="http://schemas.microsoft.com/office/drawing/2014/main" id="{5BA6B394-C77B-4832-9349-78E3BAB191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2263140" y="876300"/>
            <a:ext cx="320040" cy="361944"/>
          </a:xfrm>
          <a:prstGeom prst="rect">
            <a:avLst/>
          </a:prstGeom>
        </xdr:spPr>
      </xdr:pic>
    </xdr:grpSp>
    <xdr:clientData/>
  </xdr:twoCellAnchor>
  <xdr:oneCellAnchor>
    <xdr:from>
      <xdr:col>4</xdr:col>
      <xdr:colOff>251460</xdr:colOff>
      <xdr:row>5</xdr:row>
      <xdr:rowOff>30480</xdr:rowOff>
    </xdr:from>
    <xdr:ext cx="5303520" cy="358431"/>
    <xdr:sp macro="" textlink="">
      <xdr:nvSpPr>
        <xdr:cNvPr id="5132" name="TextBox 5131">
          <a:extLst>
            <a:ext uri="{FF2B5EF4-FFF2-40B4-BE49-F238E27FC236}">
              <a16:creationId xmlns:a16="http://schemas.microsoft.com/office/drawing/2014/main" id="{0878DBCC-4D29-4D51-AA31-506DDB3EB179}"/>
            </a:ext>
          </a:extLst>
        </xdr:cNvPr>
        <xdr:cNvSpPr txBox="1"/>
      </xdr:nvSpPr>
      <xdr:spPr>
        <a:xfrm>
          <a:off x="2689860" y="944880"/>
          <a:ext cx="5303520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700" b="1" i="0">
              <a:solidFill>
                <a:schemeClr val="bg1"/>
              </a:solidFill>
              <a:effectLst/>
              <a:latin typeface="Constantia" panose="02030602050306030303" pitchFamily="18" charset="0"/>
              <a:ea typeface="Cambria" panose="02040503050406030204" pitchFamily="18" charset="0"/>
              <a:cs typeface="+mn-cs"/>
            </a:rPr>
            <a:t>Top Selling Shades </a:t>
          </a:r>
          <a:r>
            <a:rPr lang="en-US" sz="1600" b="0" i="0">
              <a:solidFill>
                <a:schemeClr val="bg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in</a:t>
          </a:r>
          <a:r>
            <a:rPr lang="en-US" sz="1600" b="0" i="0" baseline="0">
              <a:solidFill>
                <a:schemeClr val="bg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the Clothing line</a:t>
          </a:r>
          <a:endParaRPr lang="en-US" sz="1100" b="0">
            <a:solidFill>
              <a:schemeClr val="bg1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oneCellAnchor>
  <xdr:oneCellAnchor>
    <xdr:from>
      <xdr:col>11</xdr:col>
      <xdr:colOff>106680</xdr:colOff>
      <xdr:row>7</xdr:row>
      <xdr:rowOff>76200</xdr:rowOff>
    </xdr:from>
    <xdr:ext cx="1341120" cy="256737"/>
    <xdr:sp macro="" textlink="">
      <xdr:nvSpPr>
        <xdr:cNvPr id="5134" name="TextBox 5133">
          <a:extLst>
            <a:ext uri="{FF2B5EF4-FFF2-40B4-BE49-F238E27FC236}">
              <a16:creationId xmlns:a16="http://schemas.microsoft.com/office/drawing/2014/main" id="{16DCB837-D845-41C7-981A-7AFD94103E79}"/>
            </a:ext>
          </a:extLst>
        </xdr:cNvPr>
        <xdr:cNvSpPr txBox="1"/>
      </xdr:nvSpPr>
      <xdr:spPr>
        <a:xfrm>
          <a:off x="6812280" y="1356360"/>
          <a:ext cx="1341120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050" b="1">
              <a:solidFill>
                <a:schemeClr val="bg1"/>
              </a:solidFill>
            </a:rPr>
            <a:t>Units</a:t>
          </a:r>
        </a:p>
      </xdr:txBody>
    </xdr:sp>
    <xdr:clientData/>
  </xdr:oneCellAnchor>
  <xdr:twoCellAnchor>
    <xdr:from>
      <xdr:col>13</xdr:col>
      <xdr:colOff>83820</xdr:colOff>
      <xdr:row>4</xdr:row>
      <xdr:rowOff>106680</xdr:rowOff>
    </xdr:from>
    <xdr:to>
      <xdr:col>23</xdr:col>
      <xdr:colOff>205740</xdr:colOff>
      <xdr:row>16</xdr:row>
      <xdr:rowOff>72120</xdr:rowOff>
    </xdr:to>
    <xdr:grpSp>
      <xdr:nvGrpSpPr>
        <xdr:cNvPr id="5142" name="Group 5141">
          <a:extLst>
            <a:ext uri="{FF2B5EF4-FFF2-40B4-BE49-F238E27FC236}">
              <a16:creationId xmlns:a16="http://schemas.microsoft.com/office/drawing/2014/main" id="{892E7AFB-32A1-424B-9993-F1715B578183}"/>
            </a:ext>
          </a:extLst>
        </xdr:cNvPr>
        <xdr:cNvGrpSpPr/>
      </xdr:nvGrpSpPr>
      <xdr:grpSpPr>
        <a:xfrm>
          <a:off x="8008620" y="851747"/>
          <a:ext cx="6217920" cy="2200640"/>
          <a:chOff x="2065020" y="3215640"/>
          <a:chExt cx="6167518" cy="2160000"/>
        </a:xfrm>
      </xdr:grpSpPr>
      <xdr:sp macro="" textlink="">
        <xdr:nvSpPr>
          <xdr:cNvPr id="92" name="Rectangle: Rounded Corners 91">
            <a:extLst>
              <a:ext uri="{FF2B5EF4-FFF2-40B4-BE49-F238E27FC236}">
                <a16:creationId xmlns:a16="http://schemas.microsoft.com/office/drawing/2014/main" id="{264A5130-D482-4EE9-9ED1-1999350151D6}"/>
              </a:ext>
            </a:extLst>
          </xdr:cNvPr>
          <xdr:cNvSpPr/>
        </xdr:nvSpPr>
        <xdr:spPr>
          <a:xfrm>
            <a:off x="3247978" y="3215640"/>
            <a:ext cx="4984560" cy="2160000"/>
          </a:xfrm>
          <a:prstGeom prst="roundRect">
            <a:avLst/>
          </a:prstGeom>
          <a:solidFill>
            <a:srgbClr val="E2A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3" name="Rectangle: Rounded Corners 92">
            <a:extLst>
              <a:ext uri="{FF2B5EF4-FFF2-40B4-BE49-F238E27FC236}">
                <a16:creationId xmlns:a16="http://schemas.microsoft.com/office/drawing/2014/main" id="{F71DF379-987B-449D-91DD-2C7723FC0E6B}"/>
              </a:ext>
            </a:extLst>
          </xdr:cNvPr>
          <xdr:cNvSpPr/>
        </xdr:nvSpPr>
        <xdr:spPr>
          <a:xfrm>
            <a:off x="2065020" y="3215640"/>
            <a:ext cx="6068458" cy="2160000"/>
          </a:xfrm>
          <a:prstGeom prst="roundRect">
            <a:avLst/>
          </a:prstGeom>
          <a:solidFill>
            <a:srgbClr val="9900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13</xdr:col>
      <xdr:colOff>304800</xdr:colOff>
      <xdr:row>3</xdr:row>
      <xdr:rowOff>7620</xdr:rowOff>
    </xdr:from>
    <xdr:to>
      <xdr:col>23</xdr:col>
      <xdr:colOff>93133</xdr:colOff>
      <xdr:row>16</xdr:row>
      <xdr:rowOff>152520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6C7F4EE-DAC1-4F6D-9285-882EF659E8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19</xdr:col>
      <xdr:colOff>33020</xdr:colOff>
      <xdr:row>7</xdr:row>
      <xdr:rowOff>114300</xdr:rowOff>
    </xdr:from>
    <xdr:ext cx="777240" cy="25673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BBD1B3B2-6120-4FA1-86B7-884EDACD44C4}"/>
            </a:ext>
          </a:extLst>
        </xdr:cNvPr>
        <xdr:cNvSpPr txBox="1"/>
      </xdr:nvSpPr>
      <xdr:spPr>
        <a:xfrm>
          <a:off x="11615420" y="1418167"/>
          <a:ext cx="777240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050" b="1">
              <a:solidFill>
                <a:schemeClr val="bg1"/>
              </a:solidFill>
            </a:rPr>
            <a:t>Units</a:t>
          </a:r>
        </a:p>
      </xdr:txBody>
    </xdr:sp>
    <xdr:clientData/>
  </xdr:oneCellAnchor>
  <xdr:twoCellAnchor>
    <xdr:from>
      <xdr:col>13</xdr:col>
      <xdr:colOff>304597</xdr:colOff>
      <xdr:row>4</xdr:row>
      <xdr:rowOff>70377</xdr:rowOff>
    </xdr:from>
    <xdr:to>
      <xdr:col>14</xdr:col>
      <xdr:colOff>30480</xdr:colOff>
      <xdr:row>7</xdr:row>
      <xdr:rowOff>129540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B4AD2DB0-2709-4229-A26B-B6ADFC42DCD2}"/>
            </a:ext>
          </a:extLst>
        </xdr:cNvPr>
        <xdr:cNvGrpSpPr/>
      </xdr:nvGrpSpPr>
      <xdr:grpSpPr>
        <a:xfrm>
          <a:off x="8229397" y="815444"/>
          <a:ext cx="335483" cy="617963"/>
          <a:chOff x="6263437" y="3971817"/>
          <a:chExt cx="305004" cy="516363"/>
        </a:xfrm>
      </xdr:grpSpPr>
      <xdr:pic>
        <xdr:nvPicPr>
          <xdr:cNvPr id="98" name="Picture 97" descr="Sneakers - Free fashion icons">
            <a:extLst>
              <a:ext uri="{FF2B5EF4-FFF2-40B4-BE49-F238E27FC236}">
                <a16:creationId xmlns:a16="http://schemas.microsoft.com/office/drawing/2014/main" id="{A9D2759D-0EF3-4064-8429-E45EA356E2F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426172">
            <a:off x="6270816" y="4174205"/>
            <a:ext cx="297625" cy="313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9" name="Picture 98" descr="Sneakers - Free fashion icons">
            <a:extLst>
              <a:ext uri="{FF2B5EF4-FFF2-40B4-BE49-F238E27FC236}">
                <a16:creationId xmlns:a16="http://schemas.microsoft.com/office/drawing/2014/main" id="{AE264417-81E3-4506-9525-53428E05926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9104237">
            <a:off x="6263437" y="3971817"/>
            <a:ext cx="297625" cy="313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oneCellAnchor>
    <xdr:from>
      <xdr:col>14</xdr:col>
      <xdr:colOff>182880</xdr:colOff>
      <xdr:row>5</xdr:row>
      <xdr:rowOff>45720</xdr:rowOff>
    </xdr:from>
    <xdr:ext cx="5013960" cy="411480"/>
    <xdr:sp macro="" textlink="">
      <xdr:nvSpPr>
        <xdr:cNvPr id="5144" name="TextBox 5143">
          <a:extLst>
            <a:ext uri="{FF2B5EF4-FFF2-40B4-BE49-F238E27FC236}">
              <a16:creationId xmlns:a16="http://schemas.microsoft.com/office/drawing/2014/main" id="{5EC504F3-4E02-430B-9F43-FDB648D0E45F}"/>
            </a:ext>
          </a:extLst>
        </xdr:cNvPr>
        <xdr:cNvSpPr txBox="1"/>
      </xdr:nvSpPr>
      <xdr:spPr>
        <a:xfrm>
          <a:off x="8717280" y="960120"/>
          <a:ext cx="5013960" cy="4114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/>
          <a:r>
            <a:rPr lang="en-US" sz="1800" b="1" i="0">
              <a:solidFill>
                <a:schemeClr val="bg1"/>
              </a:solidFill>
              <a:effectLst/>
              <a:latin typeface="Constantia" panose="02030602050306030303" pitchFamily="18" charset="0"/>
              <a:ea typeface="Cambria" panose="02040503050406030204" pitchFamily="18" charset="0"/>
              <a:cs typeface="+mn-cs"/>
            </a:rPr>
            <a:t>Best-Selling</a:t>
          </a:r>
          <a:r>
            <a:rPr lang="en-US" sz="1700" b="1" i="0">
              <a:solidFill>
                <a:schemeClr val="bg1"/>
              </a:solidFill>
              <a:effectLst/>
              <a:latin typeface="Constantia" panose="02030602050306030303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US" sz="1700" b="0" i="0">
              <a:solidFill>
                <a:schemeClr val="bg1"/>
              </a:solidFill>
              <a:effectLst/>
              <a:latin typeface="Constantia" panose="02030602050306030303" pitchFamily="18" charset="0"/>
              <a:ea typeface="Cambria" panose="02040503050406030204" pitchFamily="18" charset="0"/>
              <a:cs typeface="+mn-cs"/>
            </a:rPr>
            <a:t>Footwear Colours</a:t>
          </a:r>
        </a:p>
      </xdr:txBody>
    </xdr:sp>
    <xdr:clientData/>
  </xdr:oneCellAnchor>
  <xdr:oneCellAnchor>
    <xdr:from>
      <xdr:col>16</xdr:col>
      <xdr:colOff>160020</xdr:colOff>
      <xdr:row>2</xdr:row>
      <xdr:rowOff>15240</xdr:rowOff>
    </xdr:from>
    <xdr:ext cx="3456000" cy="362984"/>
    <xdr:sp macro="" textlink="">
      <xdr:nvSpPr>
        <xdr:cNvPr id="5145" name="TextBox 5144">
          <a:extLst>
            <a:ext uri="{FF2B5EF4-FFF2-40B4-BE49-F238E27FC236}">
              <a16:creationId xmlns:a16="http://schemas.microsoft.com/office/drawing/2014/main" id="{0EABC47F-10AD-41CB-B67C-33C4F97D8CAA}"/>
            </a:ext>
          </a:extLst>
        </xdr:cNvPr>
        <xdr:cNvSpPr txBox="1"/>
      </xdr:nvSpPr>
      <xdr:spPr>
        <a:xfrm>
          <a:off x="9913620" y="381000"/>
          <a:ext cx="3456000" cy="3629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500" b="1" i="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Total Quantity Sold</a:t>
          </a:r>
          <a:r>
            <a:rPr lang="en-US" sz="1400" b="1" i="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: </a:t>
          </a:r>
          <a:r>
            <a:rPr lang="en-US" sz="1800" b="1" i="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[359]</a:t>
          </a:r>
        </a:p>
      </xdr:txBody>
    </xdr:sp>
    <xdr:clientData/>
  </xdr:oneCellAnchor>
  <xdr:twoCellAnchor editAs="oneCell">
    <xdr:from>
      <xdr:col>15</xdr:col>
      <xdr:colOff>403861</xdr:colOff>
      <xdr:row>2</xdr:row>
      <xdr:rowOff>53341</xdr:rowOff>
    </xdr:from>
    <xdr:to>
      <xdr:col>16</xdr:col>
      <xdr:colOff>246748</xdr:colOff>
      <xdr:row>3</xdr:row>
      <xdr:rowOff>144781</xdr:rowOff>
    </xdr:to>
    <xdr:pic>
      <xdr:nvPicPr>
        <xdr:cNvPr id="103" name="Picture 102" descr="shopping cart icon - shopping basket on transparent background PNG ...">
          <a:extLst>
            <a:ext uri="{FF2B5EF4-FFF2-40B4-BE49-F238E27FC236}">
              <a16:creationId xmlns:a16="http://schemas.microsoft.com/office/drawing/2014/main" id="{542EC063-4031-4E51-991C-2E96A7F42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duotone>
            <a:prstClr val="black"/>
            <a:srgbClr val="7030A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7861" y="419101"/>
          <a:ext cx="452487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93133</xdr:colOff>
      <xdr:row>20</xdr:row>
      <xdr:rowOff>137160</xdr:rowOff>
    </xdr:from>
    <xdr:to>
      <xdr:col>23</xdr:col>
      <xdr:colOff>205740</xdr:colOff>
      <xdr:row>37</xdr:row>
      <xdr:rowOff>7620</xdr:rowOff>
    </xdr:to>
    <xdr:graphicFrame macro="">
      <xdr:nvGraphicFramePr>
        <xdr:cNvPr id="109" name="Chart 108">
          <a:extLst>
            <a:ext uri="{FF2B5EF4-FFF2-40B4-BE49-F238E27FC236}">
              <a16:creationId xmlns:a16="http://schemas.microsoft.com/office/drawing/2014/main" id="{79B1ADD8-4052-44D3-86A4-B4E09333E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115993</xdr:colOff>
      <xdr:row>17</xdr:row>
      <xdr:rowOff>160020</xdr:rowOff>
    </xdr:from>
    <xdr:to>
      <xdr:col>14</xdr:col>
      <xdr:colOff>448733</xdr:colOff>
      <xdr:row>20</xdr:row>
      <xdr:rowOff>120360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6979D864-D80B-4CDB-AB67-984E93A60F69}"/>
            </a:ext>
          </a:extLst>
        </xdr:cNvPr>
        <xdr:cNvGrpSpPr/>
      </xdr:nvGrpSpPr>
      <xdr:grpSpPr>
        <a:xfrm>
          <a:off x="8040793" y="3326553"/>
          <a:ext cx="942340" cy="519140"/>
          <a:chOff x="2034540" y="762000"/>
          <a:chExt cx="947602" cy="512367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797E9AE1-E295-4340-9007-A9AB1DDDE7F7}"/>
              </a:ext>
            </a:extLst>
          </xdr:cNvPr>
          <xdr:cNvSpPr txBox="1"/>
        </xdr:nvSpPr>
        <xdr:spPr>
          <a:xfrm>
            <a:off x="2034540" y="762000"/>
            <a:ext cx="947602" cy="5123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400" b="0" i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👕</a:t>
            </a:r>
            <a:endParaRPr lang="en-US" sz="1400">
              <a:solidFill>
                <a:sysClr val="windowText" lastClr="000000"/>
              </a:solidFill>
            </a:endParaRPr>
          </a:p>
        </xdr:txBody>
      </xdr:sp>
      <xdr:pic>
        <xdr:nvPicPr>
          <xdr:cNvPr id="112" name="Graphic 111" descr="Pants with solid fill">
            <a:extLst>
              <a:ext uri="{FF2B5EF4-FFF2-40B4-BE49-F238E27FC236}">
                <a16:creationId xmlns:a16="http://schemas.microsoft.com/office/drawing/2014/main" id="{04CCBCE2-2B29-4CEA-86F1-F3B43604D1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2142254" y="1015207"/>
            <a:ext cx="222850" cy="198000"/>
          </a:xfrm>
          <a:prstGeom prst="rect">
            <a:avLst/>
          </a:prstGeom>
        </xdr:spPr>
      </xdr:pic>
      <xdr:pic>
        <xdr:nvPicPr>
          <xdr:cNvPr id="113" name="Graphic 112" descr="Dress with solid fill">
            <a:extLst>
              <a:ext uri="{FF2B5EF4-FFF2-40B4-BE49-F238E27FC236}">
                <a16:creationId xmlns:a16="http://schemas.microsoft.com/office/drawing/2014/main" id="{E21BEA0D-D9BF-4F35-94FC-2D66637074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2263140" y="876300"/>
            <a:ext cx="320040" cy="36194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556260</xdr:colOff>
      <xdr:row>18</xdr:row>
      <xdr:rowOff>152400</xdr:rowOff>
    </xdr:from>
    <xdr:to>
      <xdr:col>23</xdr:col>
      <xdr:colOff>548640</xdr:colOff>
      <xdr:row>21</xdr:row>
      <xdr:rowOff>7620</xdr:rowOff>
    </xdr:to>
    <xdr:sp macro="" textlink="">
      <xdr:nvSpPr>
        <xdr:cNvPr id="5152" name="TextBox 5151">
          <a:extLst>
            <a:ext uri="{FF2B5EF4-FFF2-40B4-BE49-F238E27FC236}">
              <a16:creationId xmlns:a16="http://schemas.microsoft.com/office/drawing/2014/main" id="{672754C8-47D8-439B-AFBE-752311FC2C14}"/>
            </a:ext>
          </a:extLst>
        </xdr:cNvPr>
        <xdr:cNvSpPr txBox="1"/>
      </xdr:nvSpPr>
      <xdr:spPr>
        <a:xfrm>
          <a:off x="8481060" y="3444240"/>
          <a:ext cx="6088380" cy="403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0">
              <a:solidFill>
                <a:schemeClr val="tx1"/>
              </a:solidFill>
              <a:effectLst/>
              <a:latin typeface="Constantia" panose="02030602050306030303" pitchFamily="18" charset="0"/>
              <a:ea typeface="+mn-ea"/>
              <a:cs typeface="+mn-cs"/>
            </a:rPr>
            <a:t>Highest Selling </a:t>
          </a:r>
          <a:r>
            <a:rPr lang="en-US" sz="145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Clothe Products by  </a:t>
          </a:r>
          <a:r>
            <a:rPr lang="en-US" sz="1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Revenue</a:t>
          </a:r>
          <a:r>
            <a:rPr lang="en-US" sz="16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and    </a:t>
          </a:r>
          <a:r>
            <a:rPr lang="en-US" sz="15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Quantity Sold</a:t>
          </a:r>
          <a:endParaRPr lang="en-US" sz="15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375073</xdr:colOff>
      <xdr:row>21</xdr:row>
      <xdr:rowOff>45720</xdr:rowOff>
    </xdr:from>
    <xdr:to>
      <xdr:col>23</xdr:col>
      <xdr:colOff>108373</xdr:colOff>
      <xdr:row>22</xdr:row>
      <xdr:rowOff>114300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8C6A1191-D475-46E0-8A44-EE895D2EE4D0}"/>
            </a:ext>
          </a:extLst>
        </xdr:cNvPr>
        <xdr:cNvSpPr txBox="1"/>
      </xdr:nvSpPr>
      <xdr:spPr>
        <a:xfrm>
          <a:off x="13176673" y="3957320"/>
          <a:ext cx="952500" cy="2548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28</a:t>
          </a:r>
          <a:r>
            <a:rPr lang="en-US" sz="1000" b="1">
              <a:latin typeface="Cambria" panose="02040503050406030204" pitchFamily="18" charset="0"/>
              <a:ea typeface="Cambria" panose="02040503050406030204" pitchFamily="18" charset="0"/>
            </a:rPr>
            <a:t> Units</a:t>
          </a:r>
        </a:p>
      </xdr:txBody>
    </xdr:sp>
    <xdr:clientData/>
  </xdr:twoCellAnchor>
  <xdr:twoCellAnchor>
    <xdr:from>
      <xdr:col>33</xdr:col>
      <xdr:colOff>91440</xdr:colOff>
      <xdr:row>20</xdr:row>
      <xdr:rowOff>91440</xdr:rowOff>
    </xdr:from>
    <xdr:to>
      <xdr:col>34</xdr:col>
      <xdr:colOff>434340</xdr:colOff>
      <xdr:row>22</xdr:row>
      <xdr:rowOff>22860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E8A6F709-B533-45A0-A315-CE1F3ED950D4}"/>
            </a:ext>
          </a:extLst>
        </xdr:cNvPr>
        <xdr:cNvSpPr txBox="1"/>
      </xdr:nvSpPr>
      <xdr:spPr>
        <a:xfrm>
          <a:off x="20208240" y="3749040"/>
          <a:ext cx="9525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28</a:t>
          </a:r>
          <a:r>
            <a:rPr lang="en-US" sz="1000" b="1">
              <a:latin typeface="Cambria" panose="02040503050406030204" pitchFamily="18" charset="0"/>
              <a:ea typeface="Cambria" panose="02040503050406030204" pitchFamily="18" charset="0"/>
            </a:rPr>
            <a:t> Units</a:t>
          </a:r>
        </a:p>
      </xdr:txBody>
    </xdr:sp>
    <xdr:clientData/>
  </xdr:twoCellAnchor>
  <xdr:twoCellAnchor>
    <xdr:from>
      <xdr:col>21</xdr:col>
      <xdr:colOff>365760</xdr:colOff>
      <xdr:row>22</xdr:row>
      <xdr:rowOff>60960</xdr:rowOff>
    </xdr:from>
    <xdr:to>
      <xdr:col>23</xdr:col>
      <xdr:colOff>99060</xdr:colOff>
      <xdr:row>23</xdr:row>
      <xdr:rowOff>175260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1B5D75B-AC3C-4E98-BE1B-29200A523D2E}"/>
            </a:ext>
          </a:extLst>
        </xdr:cNvPr>
        <xdr:cNvSpPr txBox="1"/>
      </xdr:nvSpPr>
      <xdr:spPr>
        <a:xfrm>
          <a:off x="13167360" y="4084320"/>
          <a:ext cx="9525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13</a:t>
          </a:r>
          <a:endParaRPr lang="en-US" sz="10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21</xdr:col>
      <xdr:colOff>381000</xdr:colOff>
      <xdr:row>23</xdr:row>
      <xdr:rowOff>76200</xdr:rowOff>
    </xdr:from>
    <xdr:to>
      <xdr:col>23</xdr:col>
      <xdr:colOff>114300</xdr:colOff>
      <xdr:row>25</xdr:row>
      <xdr:rowOff>7620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B10045D5-4334-474A-ACA1-71279EF3F0C2}"/>
            </a:ext>
          </a:extLst>
        </xdr:cNvPr>
        <xdr:cNvSpPr txBox="1"/>
      </xdr:nvSpPr>
      <xdr:spPr>
        <a:xfrm>
          <a:off x="13182600" y="4282440"/>
          <a:ext cx="9525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5</a:t>
          </a:r>
          <a:endParaRPr lang="en-US" sz="10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21</xdr:col>
      <xdr:colOff>381000</xdr:colOff>
      <xdr:row>24</xdr:row>
      <xdr:rowOff>99060</xdr:rowOff>
    </xdr:from>
    <xdr:to>
      <xdr:col>23</xdr:col>
      <xdr:colOff>114300</xdr:colOff>
      <xdr:row>26</xdr:row>
      <xdr:rowOff>30480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3E0D6CF-416D-4285-9C96-BB2DC4642D23}"/>
            </a:ext>
          </a:extLst>
        </xdr:cNvPr>
        <xdr:cNvSpPr txBox="1"/>
      </xdr:nvSpPr>
      <xdr:spPr>
        <a:xfrm>
          <a:off x="13182600" y="4488180"/>
          <a:ext cx="9525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7</a:t>
          </a:r>
          <a:endParaRPr lang="en-US" sz="10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21</xdr:col>
      <xdr:colOff>381000</xdr:colOff>
      <xdr:row>25</xdr:row>
      <xdr:rowOff>106680</xdr:rowOff>
    </xdr:from>
    <xdr:to>
      <xdr:col>23</xdr:col>
      <xdr:colOff>114300</xdr:colOff>
      <xdr:row>27</xdr:row>
      <xdr:rowOff>38100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E955F1A5-2019-41AA-B27C-CBEDE17275AC}"/>
            </a:ext>
          </a:extLst>
        </xdr:cNvPr>
        <xdr:cNvSpPr txBox="1"/>
      </xdr:nvSpPr>
      <xdr:spPr>
        <a:xfrm>
          <a:off x="13182600" y="4678680"/>
          <a:ext cx="9525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3</a:t>
          </a:r>
          <a:endParaRPr lang="en-US" sz="10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21</xdr:col>
      <xdr:colOff>381000</xdr:colOff>
      <xdr:row>26</xdr:row>
      <xdr:rowOff>129540</xdr:rowOff>
    </xdr:from>
    <xdr:to>
      <xdr:col>23</xdr:col>
      <xdr:colOff>114300</xdr:colOff>
      <xdr:row>28</xdr:row>
      <xdr:rowOff>60960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AD22D25A-D181-47F5-8A07-7A70C09DA1BF}"/>
            </a:ext>
          </a:extLst>
        </xdr:cNvPr>
        <xdr:cNvSpPr txBox="1"/>
      </xdr:nvSpPr>
      <xdr:spPr>
        <a:xfrm>
          <a:off x="13182600" y="4884420"/>
          <a:ext cx="9525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5</a:t>
          </a:r>
          <a:endParaRPr lang="en-US" sz="10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21</xdr:col>
      <xdr:colOff>388620</xdr:colOff>
      <xdr:row>27</xdr:row>
      <xdr:rowOff>144780</xdr:rowOff>
    </xdr:from>
    <xdr:to>
      <xdr:col>23</xdr:col>
      <xdr:colOff>121920</xdr:colOff>
      <xdr:row>29</xdr:row>
      <xdr:rowOff>76200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F97DF8F-9E68-4D8D-AB3A-0483C69CD3C6}"/>
            </a:ext>
          </a:extLst>
        </xdr:cNvPr>
        <xdr:cNvSpPr txBox="1"/>
      </xdr:nvSpPr>
      <xdr:spPr>
        <a:xfrm>
          <a:off x="13190220" y="5082540"/>
          <a:ext cx="9525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5</a:t>
          </a:r>
          <a:endParaRPr lang="en-US" sz="10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21</xdr:col>
      <xdr:colOff>381000</xdr:colOff>
      <xdr:row>28</xdr:row>
      <xdr:rowOff>175260</xdr:rowOff>
    </xdr:from>
    <xdr:to>
      <xdr:col>23</xdr:col>
      <xdr:colOff>114300</xdr:colOff>
      <xdr:row>30</xdr:row>
      <xdr:rowOff>106680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4673091F-6219-48A0-BE51-9D0567536630}"/>
            </a:ext>
          </a:extLst>
        </xdr:cNvPr>
        <xdr:cNvSpPr txBox="1"/>
      </xdr:nvSpPr>
      <xdr:spPr>
        <a:xfrm>
          <a:off x="13182600" y="5295900"/>
          <a:ext cx="9525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6</a:t>
          </a:r>
          <a:endParaRPr lang="en-US" sz="10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21</xdr:col>
      <xdr:colOff>381000</xdr:colOff>
      <xdr:row>30</xdr:row>
      <xdr:rowOff>22860</xdr:rowOff>
    </xdr:from>
    <xdr:to>
      <xdr:col>23</xdr:col>
      <xdr:colOff>114300</xdr:colOff>
      <xdr:row>31</xdr:row>
      <xdr:rowOff>137160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AF76B0FB-94F4-41B9-8B9E-F592AD481185}"/>
            </a:ext>
          </a:extLst>
        </xdr:cNvPr>
        <xdr:cNvSpPr txBox="1"/>
      </xdr:nvSpPr>
      <xdr:spPr>
        <a:xfrm>
          <a:off x="13182600" y="5509260"/>
          <a:ext cx="9525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5</a:t>
          </a:r>
          <a:endParaRPr lang="en-US" sz="10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21</xdr:col>
      <xdr:colOff>381000</xdr:colOff>
      <xdr:row>31</xdr:row>
      <xdr:rowOff>45720</xdr:rowOff>
    </xdr:from>
    <xdr:to>
      <xdr:col>23</xdr:col>
      <xdr:colOff>114300</xdr:colOff>
      <xdr:row>32</xdr:row>
      <xdr:rowOff>160020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ABB5D29-1F7B-4211-BABA-FBCE50D7D4E9}"/>
            </a:ext>
          </a:extLst>
        </xdr:cNvPr>
        <xdr:cNvSpPr txBox="1"/>
      </xdr:nvSpPr>
      <xdr:spPr>
        <a:xfrm>
          <a:off x="13182600" y="5715000"/>
          <a:ext cx="9525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5</a:t>
          </a:r>
          <a:endParaRPr lang="en-US" sz="10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21</xdr:col>
      <xdr:colOff>381000</xdr:colOff>
      <xdr:row>32</xdr:row>
      <xdr:rowOff>83820</xdr:rowOff>
    </xdr:from>
    <xdr:to>
      <xdr:col>23</xdr:col>
      <xdr:colOff>114300</xdr:colOff>
      <xdr:row>34</xdr:row>
      <xdr:rowOff>15240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BBBBCC84-F60A-43DD-9233-02B4759B19B3}"/>
            </a:ext>
          </a:extLst>
        </xdr:cNvPr>
        <xdr:cNvSpPr txBox="1"/>
      </xdr:nvSpPr>
      <xdr:spPr>
        <a:xfrm>
          <a:off x="13182600" y="5935980"/>
          <a:ext cx="9525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3</a:t>
          </a:r>
          <a:endParaRPr lang="en-US" sz="10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21</xdr:col>
      <xdr:colOff>381000</xdr:colOff>
      <xdr:row>33</xdr:row>
      <xdr:rowOff>106680</xdr:rowOff>
    </xdr:from>
    <xdr:to>
      <xdr:col>23</xdr:col>
      <xdr:colOff>114300</xdr:colOff>
      <xdr:row>35</xdr:row>
      <xdr:rowOff>38100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E6F36130-FE9B-40ED-9809-E108C7ED6B61}"/>
            </a:ext>
          </a:extLst>
        </xdr:cNvPr>
        <xdr:cNvSpPr txBox="1"/>
      </xdr:nvSpPr>
      <xdr:spPr>
        <a:xfrm>
          <a:off x="13182600" y="6141720"/>
          <a:ext cx="9525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4</a:t>
          </a:r>
          <a:endParaRPr lang="en-US" sz="10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21</xdr:col>
      <xdr:colOff>373380</xdr:colOff>
      <xdr:row>34</xdr:row>
      <xdr:rowOff>129540</xdr:rowOff>
    </xdr:from>
    <xdr:to>
      <xdr:col>23</xdr:col>
      <xdr:colOff>106680</xdr:colOff>
      <xdr:row>36</xdr:row>
      <xdr:rowOff>60960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59D69EF1-6FD5-4E18-BC0A-5230B372894D}"/>
            </a:ext>
          </a:extLst>
        </xdr:cNvPr>
        <xdr:cNvSpPr txBox="1"/>
      </xdr:nvSpPr>
      <xdr:spPr>
        <a:xfrm>
          <a:off x="13174980" y="6347460"/>
          <a:ext cx="9525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i="0" u="none" strike="noStrike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4</a:t>
          </a:r>
          <a:endParaRPr lang="en-US" sz="10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13</xdr:col>
      <xdr:colOff>99061</xdr:colOff>
      <xdr:row>37</xdr:row>
      <xdr:rowOff>49530</xdr:rowOff>
    </xdr:from>
    <xdr:to>
      <xdr:col>23</xdr:col>
      <xdr:colOff>223861</xdr:colOff>
      <xdr:row>51</xdr:row>
      <xdr:rowOff>128010</xdr:rowOff>
    </xdr:to>
    <xdr:grpSp>
      <xdr:nvGrpSpPr>
        <xdr:cNvPr id="133" name="Group 132">
          <a:extLst>
            <a:ext uri="{FF2B5EF4-FFF2-40B4-BE49-F238E27FC236}">
              <a16:creationId xmlns:a16="http://schemas.microsoft.com/office/drawing/2014/main" id="{D0B08261-13E6-4FBF-917F-4B40F44FA7FA}"/>
            </a:ext>
          </a:extLst>
        </xdr:cNvPr>
        <xdr:cNvGrpSpPr/>
      </xdr:nvGrpSpPr>
      <xdr:grpSpPr>
        <a:xfrm flipH="1">
          <a:off x="8023861" y="6941397"/>
          <a:ext cx="6220800" cy="2686213"/>
          <a:chOff x="8275322" y="3036571"/>
          <a:chExt cx="6024299" cy="3780001"/>
        </a:xfrm>
      </xdr:grpSpPr>
      <xdr:sp macro="" textlink="">
        <xdr:nvSpPr>
          <xdr:cNvPr id="134" name="Rectangle: Rounded Corners 133">
            <a:extLst>
              <a:ext uri="{FF2B5EF4-FFF2-40B4-BE49-F238E27FC236}">
                <a16:creationId xmlns:a16="http://schemas.microsoft.com/office/drawing/2014/main" id="{023D3365-AD60-4C27-B1BF-16AFD7427D92}"/>
              </a:ext>
            </a:extLst>
          </xdr:cNvPr>
          <xdr:cNvSpPr/>
        </xdr:nvSpPr>
        <xdr:spPr>
          <a:xfrm flipH="1">
            <a:off x="8275322" y="3036571"/>
            <a:ext cx="5928292" cy="3780001"/>
          </a:xfrm>
          <a:prstGeom prst="roundRect">
            <a:avLst/>
          </a:prstGeom>
          <a:solidFill>
            <a:srgbClr val="9900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35" name="Rectangle: Rounded Corners 134">
            <a:extLst>
              <a:ext uri="{FF2B5EF4-FFF2-40B4-BE49-F238E27FC236}">
                <a16:creationId xmlns:a16="http://schemas.microsoft.com/office/drawing/2014/main" id="{668590B9-D381-427B-947E-9B7AC221F780}"/>
              </a:ext>
            </a:extLst>
          </xdr:cNvPr>
          <xdr:cNvSpPr/>
        </xdr:nvSpPr>
        <xdr:spPr>
          <a:xfrm flipH="1">
            <a:off x="8371329" y="3036571"/>
            <a:ext cx="5928292" cy="3780001"/>
          </a:xfrm>
          <a:prstGeom prst="roundRect">
            <a:avLst/>
          </a:prstGeom>
          <a:solidFill>
            <a:srgbClr val="E2A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12</xdr:col>
      <xdr:colOff>236219</xdr:colOff>
      <xdr:row>38</xdr:row>
      <xdr:rowOff>91440</xdr:rowOff>
    </xdr:from>
    <xdr:to>
      <xdr:col>22</xdr:col>
      <xdr:colOff>502920</xdr:colOff>
      <xdr:row>52</xdr:row>
      <xdr:rowOff>60960</xdr:rowOff>
    </xdr:to>
    <xdr:graphicFrame macro="">
      <xdr:nvGraphicFramePr>
        <xdr:cNvPr id="136" name="Chart 135">
          <a:extLst>
            <a:ext uri="{FF2B5EF4-FFF2-40B4-BE49-F238E27FC236}">
              <a16:creationId xmlns:a16="http://schemas.microsoft.com/office/drawing/2014/main" id="{F36B1DB7-E4A2-499D-8665-97545043D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296977</xdr:colOff>
      <xdr:row>38</xdr:row>
      <xdr:rowOff>32277</xdr:rowOff>
    </xdr:from>
    <xdr:to>
      <xdr:col>14</xdr:col>
      <xdr:colOff>22860</xdr:colOff>
      <xdr:row>40</xdr:row>
      <xdr:rowOff>167640</xdr:rowOff>
    </xdr:to>
    <xdr:grpSp>
      <xdr:nvGrpSpPr>
        <xdr:cNvPr id="137" name="Group 136">
          <a:extLst>
            <a:ext uri="{FF2B5EF4-FFF2-40B4-BE49-F238E27FC236}">
              <a16:creationId xmlns:a16="http://schemas.microsoft.com/office/drawing/2014/main" id="{5E4D3507-59B0-478C-969C-F97B6E10FF43}"/>
            </a:ext>
          </a:extLst>
        </xdr:cNvPr>
        <xdr:cNvGrpSpPr/>
      </xdr:nvGrpSpPr>
      <xdr:grpSpPr>
        <a:xfrm>
          <a:off x="8221777" y="7110410"/>
          <a:ext cx="335483" cy="507897"/>
          <a:chOff x="6263437" y="3971817"/>
          <a:chExt cx="305004" cy="516363"/>
        </a:xfrm>
      </xdr:grpSpPr>
      <xdr:pic>
        <xdr:nvPicPr>
          <xdr:cNvPr id="138" name="Picture 137" descr="Sneakers - Free fashion icons">
            <a:extLst>
              <a:ext uri="{FF2B5EF4-FFF2-40B4-BE49-F238E27FC236}">
                <a16:creationId xmlns:a16="http://schemas.microsoft.com/office/drawing/2014/main" id="{27FCF936-BF08-4E50-9663-542F5A08DEB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426172">
            <a:off x="6270816" y="4174205"/>
            <a:ext cx="297625" cy="313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9" name="Picture 138" descr="Sneakers - Free fashion icons">
            <a:extLst>
              <a:ext uri="{FF2B5EF4-FFF2-40B4-BE49-F238E27FC236}">
                <a16:creationId xmlns:a16="http://schemas.microsoft.com/office/drawing/2014/main" id="{263293F5-8270-4730-A502-6D4BBC3ED7C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7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18">
                    <a14:imgEffect>
                      <a14:artisticMarker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9104237">
            <a:off x="6263437" y="3971817"/>
            <a:ext cx="297625" cy="313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14</xdr:col>
      <xdr:colOff>99060</xdr:colOff>
      <xdr:row>38</xdr:row>
      <xdr:rowOff>160020</xdr:rowOff>
    </xdr:from>
    <xdr:to>
      <xdr:col>23</xdr:col>
      <xdr:colOff>251460</xdr:colOff>
      <xdr:row>41</xdr:row>
      <xdr:rowOff>15240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9087943-33BA-4788-8F34-A67CADDAA935}"/>
            </a:ext>
          </a:extLst>
        </xdr:cNvPr>
        <xdr:cNvSpPr txBox="1"/>
      </xdr:nvSpPr>
      <xdr:spPr>
        <a:xfrm>
          <a:off x="8633460" y="7109460"/>
          <a:ext cx="5638800" cy="403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0">
              <a:solidFill>
                <a:schemeClr val="tx1"/>
              </a:solidFill>
              <a:effectLst/>
              <a:latin typeface="Constantia" panose="02030602050306030303" pitchFamily="18" charset="0"/>
              <a:ea typeface="+mn-ea"/>
              <a:cs typeface="+mn-cs"/>
            </a:rPr>
            <a:t>Leading</a:t>
          </a:r>
          <a:r>
            <a:rPr lang="en-US" sz="1600" b="1" i="0" baseline="0">
              <a:solidFill>
                <a:schemeClr val="tx1"/>
              </a:solidFill>
              <a:effectLst/>
              <a:latin typeface="Constantia" panose="02030602050306030303" pitchFamily="18" charset="0"/>
              <a:ea typeface="+mn-ea"/>
              <a:cs typeface="+mn-cs"/>
            </a:rPr>
            <a:t>  </a:t>
          </a:r>
          <a:r>
            <a:rPr lang="en-US" sz="145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Footwear</a:t>
          </a:r>
          <a:r>
            <a:rPr lang="en-US" sz="145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6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Sales  </a:t>
          </a:r>
          <a:r>
            <a:rPr lang="en-US" sz="145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by</a:t>
          </a:r>
          <a:r>
            <a:rPr lang="en-US" sz="16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Revenue        and        </a:t>
          </a:r>
          <a:r>
            <a:rPr lang="en-US" sz="15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Quantity Sold</a:t>
          </a:r>
          <a:endParaRPr lang="en-US" sz="15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358140</xdr:colOff>
      <xdr:row>40</xdr:row>
      <xdr:rowOff>167640</xdr:rowOff>
    </xdr:from>
    <xdr:to>
      <xdr:col>23</xdr:col>
      <xdr:colOff>7620</xdr:colOff>
      <xdr:row>42</xdr:row>
      <xdr:rowOff>152400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54F5C902-722E-4903-8973-0A2F7069A51B}"/>
            </a:ext>
          </a:extLst>
        </xdr:cNvPr>
        <xdr:cNvSpPr txBox="1"/>
      </xdr:nvSpPr>
      <xdr:spPr>
        <a:xfrm>
          <a:off x="13159740" y="7482840"/>
          <a:ext cx="86868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Cambria" panose="02040503050406030204" pitchFamily="18" charset="0"/>
              <a:ea typeface="Cambria" panose="02040503050406030204" pitchFamily="18" charset="0"/>
            </a:rPr>
            <a:t>15</a:t>
          </a:r>
          <a:r>
            <a:rPr lang="en-US" sz="1100" b="1" baseline="0">
              <a:latin typeface="Cambria" panose="02040503050406030204" pitchFamily="18" charset="0"/>
              <a:ea typeface="Cambria" panose="02040503050406030204" pitchFamily="18" charset="0"/>
            </a:rPr>
            <a:t> Units</a:t>
          </a:r>
          <a:endParaRPr lang="en-US" sz="1100" b="1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21</xdr:col>
      <xdr:colOff>381000</xdr:colOff>
      <xdr:row>42</xdr:row>
      <xdr:rowOff>68580</xdr:rowOff>
    </xdr:from>
    <xdr:to>
      <xdr:col>22</xdr:col>
      <xdr:colOff>106680</xdr:colOff>
      <xdr:row>44</xdr:row>
      <xdr:rowOff>0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53B09C15-150F-4837-BD30-D207FA450943}"/>
            </a:ext>
          </a:extLst>
        </xdr:cNvPr>
        <xdr:cNvSpPr txBox="1"/>
      </xdr:nvSpPr>
      <xdr:spPr>
        <a:xfrm>
          <a:off x="13182600" y="7749540"/>
          <a:ext cx="33528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Cambria" panose="02040503050406030204" pitchFamily="18" charset="0"/>
              <a:ea typeface="Cambria" panose="02040503050406030204" pitchFamily="18" charset="0"/>
            </a:rPr>
            <a:t>6</a:t>
          </a:r>
        </a:p>
      </xdr:txBody>
    </xdr:sp>
    <xdr:clientData/>
  </xdr:twoCellAnchor>
  <xdr:twoCellAnchor>
    <xdr:from>
      <xdr:col>21</xdr:col>
      <xdr:colOff>396240</xdr:colOff>
      <xdr:row>43</xdr:row>
      <xdr:rowOff>167640</xdr:rowOff>
    </xdr:from>
    <xdr:to>
      <xdr:col>22</xdr:col>
      <xdr:colOff>121920</xdr:colOff>
      <xdr:row>45</xdr:row>
      <xdr:rowOff>99060</xdr:rowOff>
    </xdr:to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46760CB-B62E-4CE2-AB3C-0054BE30378E}"/>
            </a:ext>
          </a:extLst>
        </xdr:cNvPr>
        <xdr:cNvSpPr txBox="1"/>
      </xdr:nvSpPr>
      <xdr:spPr>
        <a:xfrm>
          <a:off x="13197840" y="8031480"/>
          <a:ext cx="33528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21</xdr:col>
      <xdr:colOff>396240</xdr:colOff>
      <xdr:row>45</xdr:row>
      <xdr:rowOff>76200</xdr:rowOff>
    </xdr:from>
    <xdr:to>
      <xdr:col>22</xdr:col>
      <xdr:colOff>121920</xdr:colOff>
      <xdr:row>47</xdr:row>
      <xdr:rowOff>7620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1A5D04FC-8923-4969-A1D9-74D48A44AE7C}"/>
            </a:ext>
          </a:extLst>
        </xdr:cNvPr>
        <xdr:cNvSpPr txBox="1"/>
      </xdr:nvSpPr>
      <xdr:spPr>
        <a:xfrm>
          <a:off x="13197840" y="8305800"/>
          <a:ext cx="33528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21</xdr:col>
      <xdr:colOff>396240</xdr:colOff>
      <xdr:row>46</xdr:row>
      <xdr:rowOff>175260</xdr:rowOff>
    </xdr:from>
    <xdr:to>
      <xdr:col>22</xdr:col>
      <xdr:colOff>121920</xdr:colOff>
      <xdr:row>48</xdr:row>
      <xdr:rowOff>106680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7D80A2C8-DE37-409F-A830-AA799B991731}"/>
            </a:ext>
          </a:extLst>
        </xdr:cNvPr>
        <xdr:cNvSpPr txBox="1"/>
      </xdr:nvSpPr>
      <xdr:spPr>
        <a:xfrm>
          <a:off x="13197840" y="8587740"/>
          <a:ext cx="33528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21</xdr:col>
      <xdr:colOff>403860</xdr:colOff>
      <xdr:row>48</xdr:row>
      <xdr:rowOff>53340</xdr:rowOff>
    </xdr:from>
    <xdr:to>
      <xdr:col>22</xdr:col>
      <xdr:colOff>129540</xdr:colOff>
      <xdr:row>49</xdr:row>
      <xdr:rowOff>167640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1FE253FA-94C2-441B-9D3F-0BAC51BBBDAD}"/>
            </a:ext>
          </a:extLst>
        </xdr:cNvPr>
        <xdr:cNvSpPr txBox="1"/>
      </xdr:nvSpPr>
      <xdr:spPr>
        <a:xfrm>
          <a:off x="13205460" y="8831580"/>
          <a:ext cx="33528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21</xdr:col>
      <xdr:colOff>403860</xdr:colOff>
      <xdr:row>49</xdr:row>
      <xdr:rowOff>160020</xdr:rowOff>
    </xdr:from>
    <xdr:to>
      <xdr:col>22</xdr:col>
      <xdr:colOff>129540</xdr:colOff>
      <xdr:row>51</xdr:row>
      <xdr:rowOff>91440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7421BFE5-D906-40EE-B126-C5165D3AFBEE}"/>
            </a:ext>
          </a:extLst>
        </xdr:cNvPr>
        <xdr:cNvSpPr txBox="1"/>
      </xdr:nvSpPr>
      <xdr:spPr>
        <a:xfrm>
          <a:off x="13205460" y="9121140"/>
          <a:ext cx="33528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6</xdr:col>
      <xdr:colOff>494714</xdr:colOff>
      <xdr:row>37</xdr:row>
      <xdr:rowOff>2931</xdr:rowOff>
    </xdr:from>
    <xdr:to>
      <xdr:col>13</xdr:col>
      <xdr:colOff>57914</xdr:colOff>
      <xdr:row>51</xdr:row>
      <xdr:rowOff>81411</xdr:rowOff>
    </xdr:to>
    <xdr:grpSp>
      <xdr:nvGrpSpPr>
        <xdr:cNvPr id="150" name="Group 149">
          <a:extLst>
            <a:ext uri="{FF2B5EF4-FFF2-40B4-BE49-F238E27FC236}">
              <a16:creationId xmlns:a16="http://schemas.microsoft.com/office/drawing/2014/main" id="{2B273090-7597-4C07-8ACE-3489B4F302CA}"/>
            </a:ext>
          </a:extLst>
        </xdr:cNvPr>
        <xdr:cNvGrpSpPr/>
      </xdr:nvGrpSpPr>
      <xdr:grpSpPr>
        <a:xfrm>
          <a:off x="4152314" y="6894798"/>
          <a:ext cx="3830400" cy="2686213"/>
          <a:chOff x="1752600" y="838200"/>
          <a:chExt cx="6167518" cy="2160000"/>
        </a:xfrm>
      </xdr:grpSpPr>
      <xdr:sp macro="" textlink="">
        <xdr:nvSpPr>
          <xdr:cNvPr id="151" name="Rectangle: Rounded Corners 150">
            <a:extLst>
              <a:ext uri="{FF2B5EF4-FFF2-40B4-BE49-F238E27FC236}">
                <a16:creationId xmlns:a16="http://schemas.microsoft.com/office/drawing/2014/main" id="{B0E596B3-5222-425E-B65B-13D2BD10BC5B}"/>
              </a:ext>
            </a:extLst>
          </xdr:cNvPr>
          <xdr:cNvSpPr/>
        </xdr:nvSpPr>
        <xdr:spPr>
          <a:xfrm flipH="1">
            <a:off x="1752600" y="838200"/>
            <a:ext cx="4984560" cy="2160000"/>
          </a:xfrm>
          <a:prstGeom prst="roundRect">
            <a:avLst/>
          </a:prstGeom>
          <a:solidFill>
            <a:srgbClr val="E2A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2" name="Rectangle: Rounded Corners 151">
            <a:extLst>
              <a:ext uri="{FF2B5EF4-FFF2-40B4-BE49-F238E27FC236}">
                <a16:creationId xmlns:a16="http://schemas.microsoft.com/office/drawing/2014/main" id="{65BC48F8-93E0-41F3-AA0B-9B18E5568A92}"/>
              </a:ext>
            </a:extLst>
          </xdr:cNvPr>
          <xdr:cNvSpPr/>
        </xdr:nvSpPr>
        <xdr:spPr>
          <a:xfrm flipH="1">
            <a:off x="1851660" y="838200"/>
            <a:ext cx="6068458" cy="2160000"/>
          </a:xfrm>
          <a:prstGeom prst="roundRect">
            <a:avLst/>
          </a:prstGeom>
          <a:solidFill>
            <a:srgbClr val="9900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609014</xdr:colOff>
      <xdr:row>39</xdr:row>
      <xdr:rowOff>89682</xdr:rowOff>
    </xdr:from>
    <xdr:to>
      <xdr:col>12</xdr:col>
      <xdr:colOff>349934</xdr:colOff>
      <xdr:row>50</xdr:row>
      <xdr:rowOff>178191</xdr:rowOff>
    </xdr:to>
    <xdr:graphicFrame macro="">
      <xdr:nvGraphicFramePr>
        <xdr:cNvPr id="155" name="Chart 154">
          <a:extLst>
            <a:ext uri="{FF2B5EF4-FFF2-40B4-BE49-F238E27FC236}">
              <a16:creationId xmlns:a16="http://schemas.microsoft.com/office/drawing/2014/main" id="{439E99C1-9ADA-4913-89CB-F75DB39A0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45720</xdr:colOff>
      <xdr:row>37</xdr:row>
      <xdr:rowOff>22860</xdr:rowOff>
    </xdr:from>
    <xdr:to>
      <xdr:col>6</xdr:col>
      <xdr:colOff>499320</xdr:colOff>
      <xdr:row>51</xdr:row>
      <xdr:rowOff>101340</xdr:rowOff>
    </xdr:to>
    <xdr:grpSp>
      <xdr:nvGrpSpPr>
        <xdr:cNvPr id="156" name="Group 155">
          <a:extLst>
            <a:ext uri="{FF2B5EF4-FFF2-40B4-BE49-F238E27FC236}">
              <a16:creationId xmlns:a16="http://schemas.microsoft.com/office/drawing/2014/main" id="{0DC748C5-11AB-4CA0-AE23-70DF532E0354}"/>
            </a:ext>
          </a:extLst>
        </xdr:cNvPr>
        <xdr:cNvGrpSpPr/>
      </xdr:nvGrpSpPr>
      <xdr:grpSpPr>
        <a:xfrm flipH="1">
          <a:off x="45720" y="6914727"/>
          <a:ext cx="4111200" cy="2686213"/>
          <a:chOff x="1752600" y="838200"/>
          <a:chExt cx="6167518" cy="2160000"/>
        </a:xfrm>
      </xdr:grpSpPr>
      <xdr:sp macro="" textlink="">
        <xdr:nvSpPr>
          <xdr:cNvPr id="157" name="Rectangle: Rounded Corners 156">
            <a:extLst>
              <a:ext uri="{FF2B5EF4-FFF2-40B4-BE49-F238E27FC236}">
                <a16:creationId xmlns:a16="http://schemas.microsoft.com/office/drawing/2014/main" id="{02310E9B-21B9-491B-91C0-4062F69B9F25}"/>
              </a:ext>
            </a:extLst>
          </xdr:cNvPr>
          <xdr:cNvSpPr/>
        </xdr:nvSpPr>
        <xdr:spPr>
          <a:xfrm flipH="1">
            <a:off x="1752600" y="838200"/>
            <a:ext cx="4984560" cy="2160000"/>
          </a:xfrm>
          <a:prstGeom prst="roundRect">
            <a:avLst/>
          </a:prstGeom>
          <a:solidFill>
            <a:srgbClr val="E2A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8" name="Rectangle: Rounded Corners 157">
            <a:extLst>
              <a:ext uri="{FF2B5EF4-FFF2-40B4-BE49-F238E27FC236}">
                <a16:creationId xmlns:a16="http://schemas.microsoft.com/office/drawing/2014/main" id="{17413CE1-AB2D-484D-86EB-080AC3036840}"/>
              </a:ext>
            </a:extLst>
          </xdr:cNvPr>
          <xdr:cNvSpPr/>
        </xdr:nvSpPr>
        <xdr:spPr>
          <a:xfrm flipH="1">
            <a:off x="1851660" y="838200"/>
            <a:ext cx="6068458" cy="2160000"/>
          </a:xfrm>
          <a:prstGeom prst="roundRect">
            <a:avLst/>
          </a:prstGeom>
          <a:solidFill>
            <a:srgbClr val="9900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259080</xdr:colOff>
      <xdr:row>38</xdr:row>
      <xdr:rowOff>68580</xdr:rowOff>
    </xdr:from>
    <xdr:to>
      <xdr:col>12</xdr:col>
      <xdr:colOff>533400</xdr:colOff>
      <xdr:row>39</xdr:row>
      <xdr:rowOff>175260</xdr:rowOff>
    </xdr:to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7C1E7984-079C-46B5-9E1D-5CCC28491D34}"/>
            </a:ext>
          </a:extLst>
        </xdr:cNvPr>
        <xdr:cNvSpPr txBox="1"/>
      </xdr:nvSpPr>
      <xdr:spPr>
        <a:xfrm>
          <a:off x="4526280" y="7018020"/>
          <a:ext cx="332232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Age</a:t>
          </a:r>
          <a:r>
            <a:rPr lang="en-US" sz="14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Distribution</a:t>
          </a:r>
          <a:r>
            <a:rPr lang="en-US" sz="12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US" sz="14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Quantity Sold by Size</a:t>
          </a:r>
          <a:endParaRPr lang="en-US" sz="15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586740</xdr:colOff>
      <xdr:row>38</xdr:row>
      <xdr:rowOff>45720</xdr:rowOff>
    </xdr:from>
    <xdr:to>
      <xdr:col>7</xdr:col>
      <xdr:colOff>342900</xdr:colOff>
      <xdr:row>40</xdr:row>
      <xdr:rowOff>45720</xdr:rowOff>
    </xdr:to>
    <xdr:pic>
      <xdr:nvPicPr>
        <xdr:cNvPr id="5158" name="Graphic 5157" descr="Children with solid fill">
          <a:extLst>
            <a:ext uri="{FF2B5EF4-FFF2-40B4-BE49-F238E27FC236}">
              <a16:creationId xmlns:a16="http://schemas.microsoft.com/office/drawing/2014/main" id="{1A3DFF10-3C02-4E73-8826-D89DF111F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4244340" y="699516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38</xdr:row>
      <xdr:rowOff>106680</xdr:rowOff>
    </xdr:from>
    <xdr:to>
      <xdr:col>13</xdr:col>
      <xdr:colOff>53340</xdr:colOff>
      <xdr:row>39</xdr:row>
      <xdr:rowOff>167640</xdr:rowOff>
    </xdr:to>
    <xdr:pic>
      <xdr:nvPicPr>
        <xdr:cNvPr id="5160" name="Graphic 5159" descr="Pie chart with solid fill">
          <a:extLst>
            <a:ext uri="{FF2B5EF4-FFF2-40B4-BE49-F238E27FC236}">
              <a16:creationId xmlns:a16="http://schemas.microsoft.com/office/drawing/2014/main" id="{D1D5D9D1-36C7-4560-BD0E-3AF5FB092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7734300" y="7056120"/>
          <a:ext cx="243840" cy="243840"/>
        </a:xfrm>
        <a:prstGeom prst="rect">
          <a:avLst/>
        </a:prstGeom>
      </xdr:spPr>
    </xdr:pic>
    <xdr:clientData/>
  </xdr:twoCellAnchor>
  <xdr:twoCellAnchor>
    <xdr:from>
      <xdr:col>0</xdr:col>
      <xdr:colOff>99060</xdr:colOff>
      <xdr:row>38</xdr:row>
      <xdr:rowOff>129540</xdr:rowOff>
    </xdr:from>
    <xdr:to>
      <xdr:col>6</xdr:col>
      <xdr:colOff>473460</xdr:colOff>
      <xdr:row>51</xdr:row>
      <xdr:rowOff>12900</xdr:rowOff>
    </xdr:to>
    <xdr:graphicFrame macro="">
      <xdr:nvGraphicFramePr>
        <xdr:cNvPr id="166" name="Chart 165">
          <a:extLst>
            <a:ext uri="{FF2B5EF4-FFF2-40B4-BE49-F238E27FC236}">
              <a16:creationId xmlns:a16="http://schemas.microsoft.com/office/drawing/2014/main" id="{2B8B04F2-142C-4236-9DA5-B3821E960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312420</xdr:colOff>
      <xdr:row>38</xdr:row>
      <xdr:rowOff>91440</xdr:rowOff>
    </xdr:from>
    <xdr:to>
      <xdr:col>7</xdr:col>
      <xdr:colOff>68580</xdr:colOff>
      <xdr:row>40</xdr:row>
      <xdr:rowOff>45720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7C75C7F2-76CA-4785-965A-F200719D3034}"/>
            </a:ext>
          </a:extLst>
        </xdr:cNvPr>
        <xdr:cNvSpPr txBox="1"/>
      </xdr:nvSpPr>
      <xdr:spPr>
        <a:xfrm>
          <a:off x="312420" y="7040880"/>
          <a:ext cx="402336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Footwear Performance</a:t>
          </a:r>
          <a:r>
            <a:rPr lang="en-US" sz="12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by </a:t>
          </a:r>
          <a:r>
            <a:rPr lang="en-US" sz="14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Size </a:t>
          </a:r>
          <a:r>
            <a:rPr lang="en-US" sz="14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4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Q</a:t>
          </a:r>
          <a:r>
            <a:rPr lang="en-US" sz="14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uantity Sold </a:t>
          </a:r>
          <a:endParaRPr lang="en-US" sz="15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76200</xdr:colOff>
      <xdr:row>38</xdr:row>
      <xdr:rowOff>45720</xdr:rowOff>
    </xdr:from>
    <xdr:to>
      <xdr:col>0</xdr:col>
      <xdr:colOff>388620</xdr:colOff>
      <xdr:row>39</xdr:row>
      <xdr:rowOff>175260</xdr:rowOff>
    </xdr:to>
    <xdr:pic>
      <xdr:nvPicPr>
        <xdr:cNvPr id="5163" name="Graphic 5162" descr="Paw prints with solid fill">
          <a:extLst>
            <a:ext uri="{FF2B5EF4-FFF2-40B4-BE49-F238E27FC236}">
              <a16:creationId xmlns:a16="http://schemas.microsoft.com/office/drawing/2014/main" id="{88F0F4F1-0E15-4DD4-A66C-6A39B42E7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76200" y="6995160"/>
          <a:ext cx="312420" cy="31242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22</xdr:row>
      <xdr:rowOff>95251</xdr:rowOff>
    </xdr:from>
    <xdr:to>
      <xdr:col>6</xdr:col>
      <xdr:colOff>522600</xdr:colOff>
      <xdr:row>36</xdr:row>
      <xdr:rowOff>173731</xdr:rowOff>
    </xdr:to>
    <xdr:grpSp>
      <xdr:nvGrpSpPr>
        <xdr:cNvPr id="172" name="Group 171">
          <a:extLst>
            <a:ext uri="{FF2B5EF4-FFF2-40B4-BE49-F238E27FC236}">
              <a16:creationId xmlns:a16="http://schemas.microsoft.com/office/drawing/2014/main" id="{2CD9DD36-B072-471F-9659-9B483529F34A}"/>
            </a:ext>
          </a:extLst>
        </xdr:cNvPr>
        <xdr:cNvGrpSpPr/>
      </xdr:nvGrpSpPr>
      <xdr:grpSpPr>
        <a:xfrm>
          <a:off x="76200" y="4193118"/>
          <a:ext cx="4104000" cy="2686213"/>
          <a:chOff x="8275322" y="3036571"/>
          <a:chExt cx="6024299" cy="3780001"/>
        </a:xfrm>
      </xdr:grpSpPr>
      <xdr:sp macro="" textlink="">
        <xdr:nvSpPr>
          <xdr:cNvPr id="173" name="Rectangle: Rounded Corners 172">
            <a:extLst>
              <a:ext uri="{FF2B5EF4-FFF2-40B4-BE49-F238E27FC236}">
                <a16:creationId xmlns:a16="http://schemas.microsoft.com/office/drawing/2014/main" id="{BB540859-96D3-4241-8BC4-C2C79B058D84}"/>
              </a:ext>
            </a:extLst>
          </xdr:cNvPr>
          <xdr:cNvSpPr/>
        </xdr:nvSpPr>
        <xdr:spPr>
          <a:xfrm flipH="1">
            <a:off x="8275322" y="3036571"/>
            <a:ext cx="5928292" cy="3780001"/>
          </a:xfrm>
          <a:prstGeom prst="roundRect">
            <a:avLst/>
          </a:prstGeom>
          <a:solidFill>
            <a:srgbClr val="9900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74" name="Rectangle: Rounded Corners 173">
            <a:extLst>
              <a:ext uri="{FF2B5EF4-FFF2-40B4-BE49-F238E27FC236}">
                <a16:creationId xmlns:a16="http://schemas.microsoft.com/office/drawing/2014/main" id="{618C581B-2449-4211-8480-FEE60AC626C7}"/>
              </a:ext>
            </a:extLst>
          </xdr:cNvPr>
          <xdr:cNvSpPr/>
        </xdr:nvSpPr>
        <xdr:spPr>
          <a:xfrm flipH="1">
            <a:off x="8371329" y="3036571"/>
            <a:ext cx="5928292" cy="3780001"/>
          </a:xfrm>
          <a:prstGeom prst="roundRect">
            <a:avLst/>
          </a:prstGeom>
          <a:solidFill>
            <a:srgbClr val="E2A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182880</xdr:colOff>
      <xdr:row>26</xdr:row>
      <xdr:rowOff>106679</xdr:rowOff>
    </xdr:from>
    <xdr:to>
      <xdr:col>6</xdr:col>
      <xdr:colOff>137160</xdr:colOff>
      <xdr:row>37</xdr:row>
      <xdr:rowOff>22860</xdr:rowOff>
    </xdr:to>
    <xdr:graphicFrame macro="">
      <xdr:nvGraphicFramePr>
        <xdr:cNvPr id="183" name="Chart 182">
          <a:extLst>
            <a:ext uri="{FF2B5EF4-FFF2-40B4-BE49-F238E27FC236}">
              <a16:creationId xmlns:a16="http://schemas.microsoft.com/office/drawing/2014/main" id="{87F025BB-E91D-48FD-9BD0-EACBBC116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185261</xdr:colOff>
      <xdr:row>24</xdr:row>
      <xdr:rowOff>45720</xdr:rowOff>
    </xdr:from>
    <xdr:to>
      <xdr:col>7</xdr:col>
      <xdr:colOff>200501</xdr:colOff>
      <xdr:row>26</xdr:row>
      <xdr:rowOff>30480</xdr:rowOff>
    </xdr:to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B79865DD-BC70-4841-8128-48AE96EBF8E7}"/>
            </a:ext>
          </a:extLst>
        </xdr:cNvPr>
        <xdr:cNvSpPr txBox="1"/>
      </xdr:nvSpPr>
      <xdr:spPr>
        <a:xfrm>
          <a:off x="185261" y="4331970"/>
          <a:ext cx="4265771" cy="3419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 i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First Week Total Sales:</a:t>
          </a:r>
          <a:r>
            <a:rPr lang="en-US" sz="1050" b="1" i="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₦6.69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 (</a:t>
          </a:r>
          <a:r>
            <a:rPr lang="en-US" sz="1100" b="1" i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91% </a:t>
          </a:r>
          <a:r>
            <a:rPr lang="en-US" sz="1200" b="0" i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of</a:t>
          </a:r>
          <a:r>
            <a:rPr lang="en-US" sz="1100" b="1" i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Total Sales Revenue)</a:t>
          </a:r>
          <a:endParaRPr lang="en-US" sz="1100" b="1">
            <a:solidFill>
              <a:sysClr val="windowText" lastClr="00000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 editAs="oneCell">
    <xdr:from>
      <xdr:col>0</xdr:col>
      <xdr:colOff>281940</xdr:colOff>
      <xdr:row>22</xdr:row>
      <xdr:rowOff>175260</xdr:rowOff>
    </xdr:from>
    <xdr:to>
      <xdr:col>0</xdr:col>
      <xdr:colOff>579120</xdr:colOff>
      <xdr:row>24</xdr:row>
      <xdr:rowOff>106680</xdr:rowOff>
    </xdr:to>
    <xdr:pic>
      <xdr:nvPicPr>
        <xdr:cNvPr id="5167" name="Graphic 5166" descr="Daily calendar with solid fill">
          <a:extLst>
            <a:ext uri="{FF2B5EF4-FFF2-40B4-BE49-F238E27FC236}">
              <a16:creationId xmlns:a16="http://schemas.microsoft.com/office/drawing/2014/main" id="{3823737D-B83E-4B8E-A57F-CCBEDDA0C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>
          <a:off x="281940" y="4198620"/>
          <a:ext cx="297180" cy="2971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93133</xdr:rowOff>
    </xdr:from>
    <xdr:to>
      <xdr:col>3</xdr:col>
      <xdr:colOff>168275</xdr:colOff>
      <xdr:row>14</xdr:row>
      <xdr:rowOff>32867</xdr:rowOff>
    </xdr:to>
    <xdr:grpSp>
      <xdr:nvGrpSpPr>
        <xdr:cNvPr id="5171" name="Group 5170">
          <a:extLst>
            <a:ext uri="{FF2B5EF4-FFF2-40B4-BE49-F238E27FC236}">
              <a16:creationId xmlns:a16="http://schemas.microsoft.com/office/drawing/2014/main" id="{8A52AA8D-0773-4D1A-9275-40FB094131D3}"/>
            </a:ext>
          </a:extLst>
        </xdr:cNvPr>
        <xdr:cNvGrpSpPr/>
      </xdr:nvGrpSpPr>
      <xdr:grpSpPr>
        <a:xfrm>
          <a:off x="0" y="1397000"/>
          <a:ext cx="1997075" cy="1243600"/>
          <a:chOff x="0" y="812800"/>
          <a:chExt cx="1997075" cy="2109341"/>
        </a:xfrm>
      </xdr:grpSpPr>
      <xdr:grpSp>
        <xdr:nvGrpSpPr>
          <xdr:cNvPr id="5164" name="Group 5163">
            <a:extLst>
              <a:ext uri="{FF2B5EF4-FFF2-40B4-BE49-F238E27FC236}">
                <a16:creationId xmlns:a16="http://schemas.microsoft.com/office/drawing/2014/main" id="{32F6A4BC-F252-46EC-9C43-953B70FEEFAD}"/>
              </a:ext>
            </a:extLst>
          </xdr:cNvPr>
          <xdr:cNvGrpSpPr/>
        </xdr:nvGrpSpPr>
        <xdr:grpSpPr>
          <a:xfrm>
            <a:off x="68580" y="812800"/>
            <a:ext cx="1768200" cy="2109341"/>
            <a:chOff x="99060" y="822960"/>
            <a:chExt cx="1623060" cy="2160000"/>
          </a:xfrm>
        </xdr:grpSpPr>
        <xdr:sp macro="" textlink="">
          <xdr:nvSpPr>
            <xdr:cNvPr id="179" name="Rectangle: Rounded Corners 178">
              <a:extLst>
                <a:ext uri="{FF2B5EF4-FFF2-40B4-BE49-F238E27FC236}">
                  <a16:creationId xmlns:a16="http://schemas.microsoft.com/office/drawing/2014/main" id="{998CCA7A-AD1D-474E-86AA-D7F8DD8F10A1}"/>
                </a:ext>
              </a:extLst>
            </xdr:cNvPr>
            <xdr:cNvSpPr/>
          </xdr:nvSpPr>
          <xdr:spPr>
            <a:xfrm>
              <a:off x="416529" y="822960"/>
              <a:ext cx="1305591" cy="2160000"/>
            </a:xfrm>
            <a:prstGeom prst="roundRect">
              <a:avLst/>
            </a:prstGeom>
            <a:solidFill>
              <a:srgbClr val="E2A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0" name="Rectangle: Rounded Corners 179">
              <a:extLst>
                <a:ext uri="{FF2B5EF4-FFF2-40B4-BE49-F238E27FC236}">
                  <a16:creationId xmlns:a16="http://schemas.microsoft.com/office/drawing/2014/main" id="{2224ADAE-F37E-4F6E-A679-5B94E144FCD7}"/>
                </a:ext>
              </a:extLst>
            </xdr:cNvPr>
            <xdr:cNvSpPr/>
          </xdr:nvSpPr>
          <xdr:spPr>
            <a:xfrm>
              <a:off x="99060" y="822960"/>
              <a:ext cx="1555200" cy="2160000"/>
            </a:xfrm>
            <a:prstGeom prst="roundRect">
              <a:avLst/>
            </a:prstGeom>
            <a:solidFill>
              <a:srgbClr val="9900C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168" name="Group 5167">
            <a:extLst>
              <a:ext uri="{FF2B5EF4-FFF2-40B4-BE49-F238E27FC236}">
                <a16:creationId xmlns:a16="http://schemas.microsoft.com/office/drawing/2014/main" id="{AD5224D5-0543-41FF-A708-CA016782E9A9}"/>
              </a:ext>
            </a:extLst>
          </xdr:cNvPr>
          <xdr:cNvGrpSpPr/>
        </xdr:nvGrpSpPr>
        <xdr:grpSpPr>
          <a:xfrm>
            <a:off x="0" y="1400904"/>
            <a:ext cx="1997075" cy="1278797"/>
            <a:chOff x="0" y="2193015"/>
            <a:chExt cx="1997075" cy="659411"/>
          </a:xfrm>
        </xdr:grpSpPr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8FA79D16-FDFF-40D0-90A5-55F853335B83}"/>
                </a:ext>
              </a:extLst>
            </xdr:cNvPr>
            <xdr:cNvSpPr txBox="1"/>
          </xdr:nvSpPr>
          <xdr:spPr>
            <a:xfrm>
              <a:off x="0" y="2193015"/>
              <a:ext cx="1211579" cy="50101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2300" b="1">
                  <a:solidFill>
                    <a:srgbClr val="EDCDFF"/>
                  </a:solidFill>
                  <a:latin typeface="Imprint MT Shadow" panose="04020605060303030202" pitchFamily="82" charset="0"/>
                </a:rPr>
                <a:t>Analyst</a:t>
              </a:r>
            </a:p>
          </xdr:txBody>
        </xdr:sp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929ED873-F841-46CE-8184-B3795A1385E5}"/>
                </a:ext>
              </a:extLst>
            </xdr:cNvPr>
            <xdr:cNvSpPr txBox="1"/>
          </xdr:nvSpPr>
          <xdr:spPr>
            <a:xfrm>
              <a:off x="871220" y="2199011"/>
              <a:ext cx="1125855" cy="65341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en-US" sz="1100" b="1">
                <a:solidFill>
                  <a:srgbClr val="7030A0"/>
                </a:solidFill>
              </a:endParaRPr>
            </a:p>
            <a:p>
              <a:r>
                <a:rPr lang="en-US" sz="2200" b="1">
                  <a:solidFill>
                    <a:srgbClr val="EDCDFF"/>
                  </a:solidFill>
                  <a:latin typeface="Imprint MT Shadow" panose="04020605060303030202" pitchFamily="82" charset="0"/>
                </a:rPr>
                <a:t>_HFL</a:t>
              </a:r>
            </a:p>
          </xdr:txBody>
        </xdr:sp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02.289391666665" createdVersion="7" refreshedVersion="7" minRefreshableVersion="3" recordCount="132" xr:uid="{E6209AF9-1E2A-40DB-B250-0D323EBEF840}">
  <cacheSource type="worksheet">
    <worksheetSource name="Table3"/>
  </cacheSource>
  <cacheFields count="2">
    <cacheField name="Colour" numFmtId="0">
      <sharedItems count="38">
        <s v="Wine"/>
        <s v="Brown"/>
        <s v="Pink"/>
        <s v="Yellow"/>
        <s v="Magenta"/>
        <s v="Sky-Blue"/>
        <s v="Blue"/>
        <s v="Navy Blue"/>
        <s v="Baby Pink "/>
        <s v="White"/>
        <s v="Lilac"/>
        <s v="Mint"/>
        <s v="Purple"/>
        <s v="Peach"/>
        <s v="Navy  "/>
        <s v="Green "/>
        <s v="Coal"/>
        <s v="Black"/>
        <s v="Grey"/>
        <s v="LemonGreen"/>
        <s v="Red"/>
        <s v="Ash"/>
        <s v="Ash/White"/>
        <s v="NavyBlue"/>
        <s v="Mustard"/>
        <s v="Lemon "/>
        <s v="Navy"/>
        <s v="Skyblue"/>
        <s v="Coral"/>
        <s v="Burnt Orange"/>
        <s v="Orange"/>
        <s v="Teal"/>
        <s v="Lemon Green"/>
        <s v="Light"/>
        <s v="Dark"/>
        <s v="Army Green"/>
        <s v="Skyblue/White"/>
        <s v="Gold"/>
      </sharedItems>
    </cacheField>
    <cacheField name="Quantity Sold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02.658245601851" createdVersion="7" refreshedVersion="7" minRefreshableVersion="3" recordCount="18" xr:uid="{6F3F8820-FF15-4E21-A77F-5E3761C97EF0}">
  <cacheSource type="worksheet">
    <worksheetSource name="Table9"/>
  </cacheSource>
  <cacheFields count="2">
    <cacheField name="Colour" numFmtId="0">
      <sharedItems count="11">
        <s v="Black"/>
        <s v="Pink"/>
        <s v="Brown-Grey"/>
        <s v="Brown "/>
        <s v="Black-Brown"/>
        <s v="Brown"/>
        <s v="Green"/>
        <s v="Grey"/>
        <s v="Red"/>
        <s v="Yellow"/>
        <s v="Leather Black"/>
      </sharedItems>
    </cacheField>
    <cacheField name="Quantity Sold" numFmtId="0">
      <sharedItems containsSemiMixedTypes="0" containsString="0" containsNumber="1" containsInteger="1" minValue="1" maxValue="6" count="4">
        <n v="1"/>
        <n v="2"/>
        <n v="4"/>
        <n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02.706921296296" createdVersion="7" refreshedVersion="7" minRefreshableVersion="3" recordCount="15" xr:uid="{7DEE4622-8E47-490D-8D1D-53BAB2F4BF41}">
  <cacheSource type="worksheet">
    <worksheetSource name="Table8"/>
  </cacheSource>
  <cacheFields count="2">
    <cacheField name="Product Name " numFmtId="0">
      <sharedItems count="15">
        <s v="Beautiful Shinny Shoes"/>
        <s v="Black School Shoe (Girls)"/>
        <s v="Replay Slides "/>
        <s v="Space Ship Slides"/>
        <s v="Micheal Kros (MK) Slides"/>
        <s v="Aipao Slides"/>
        <s v="Black Boot (Pocket)"/>
        <s v="Timbz Boot (Levis)"/>
        <s v="Barbie Sneakers"/>
        <s v="White Sneakers"/>
        <s v="Radit Sneakers"/>
        <s v="Disco Light Sneakers"/>
        <s v="Nike Sneakers"/>
        <s v="White DooDogs Sneakers (Rainbow)"/>
        <s v="Half Shoe (Polo)"/>
      </sharedItems>
    </cacheField>
    <cacheField name="Quantity Sold" numFmtId="0">
      <sharedItems containsSemiMixedTypes="0" containsString="0" containsNumber="1" containsInteger="1" minValue="1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03.237653472221" createdVersion="7" refreshedVersion="7" minRefreshableVersion="3" recordCount="109" xr:uid="{2B2B902D-2256-4139-8FB9-24201CF5F2F5}">
  <cacheSource type="worksheet">
    <worksheetSource name="Table12"/>
  </cacheSource>
  <cacheFields count="2">
    <cacheField name="Product Name " numFmtId="0">
      <sharedItems count="109">
        <s v="Gen-Z (All)"/>
        <s v="Denim Cargo Block Pant with White Polka Dot Belt"/>
        <s v="2pcs Naruto Jacket &amp; T-shirt"/>
        <s v="Denim Cargo Pant with Zip"/>
        <s v="2pcs YouGotMeThinking T-shirt and Short"/>
        <s v="2pcs Black Jacket &amp; White T-shirt"/>
        <s v="3 Tone Dress Y|P|B Mathudi"/>
        <s v="Cargo Army Green Denim"/>
        <s v="M M"/>
        <s v="Tommy Hilfiger RN"/>
        <s v="2pcs Wine Jacket &amp; White T-shirt"/>
        <s v="2pcs Mint Multicoloured Shirt and Short"/>
        <s v="Check Hood Jacket"/>
        <s v="Denim Pants &quot;Good Vibe Only&quot;"/>
        <s v="Bell Buttom Trouser (Butterfly)"/>
        <s v="New York T-shirt"/>
        <s v="Skyla Polo"/>
        <s v="3pcs Jacket, Trouser &amp; Top"/>
        <s v="2pcs Blue Multicoloured Short and Shirt"/>
        <s v="Cargo Denim Black (Toy Pocket)"/>
        <s v="Crop Top &quot;Florista&quot; with Circle Rope"/>
        <s v="Run Kids T-shirt"/>
        <s v="Camo Trouser"/>
        <s v="3 Quarter Short with Belt"/>
        <s v="Pink Fur Top"/>
        <s v="Multi-colour 3 Tone Dress with Puff"/>
        <s v="2pcs Sweat Shirt and Joggers"/>
        <s v="White Medc Shirt with Black Bottom"/>
        <s v="Black Stone T-shirt White Bottom"/>
        <s v="Black White Shirts Happy Stones"/>
        <s v="Rare Urban Children"/>
        <s v="Tommy Hilfiger Polo Red White Navy Stripe"/>
        <s v="Tommy Polo White Embroidery"/>
        <s v="2pcs Ferry Black Shirt &amp; White Jacket"/>
        <s v="2pcs Top &amp; Jacket &quot;Peace Love Happinesss&quot;"/>
        <s v="Micky Mouse Mono Sleeve with Side Bow"/>
        <s v="Cargo Blue Denim"/>
        <s v="Cargo Black Denim"/>
        <s v="3pcs Denim Pant, Top, Jacket &amp; White Top"/>
        <s v="Sailor Denim Short"/>
        <s v="Hello Kitty Romper"/>
        <s v="Multicoloured Check Dress"/>
        <s v="2pcs Brown &amp; White Short and Top"/>
        <s v="2pcs Black &amp; Multi-coloured Short and Shirt"/>
        <s v="2pcs 3 Tone Gold &amp; Brown Short and Shirt"/>
        <s v="Cargo Green Pants"/>
        <s v="Miu Miu Stone Shirts"/>
        <s v="Space Crew Blue Lemon"/>
        <s v="Rose Pleated Top"/>
        <s v="2pcs Army &amp; White Short and Shirt"/>
        <s v="2pcs White Butterfly Top &amp; Short"/>
        <s v="Tommy Hilfiger Polo New York City Skyblue"/>
        <s v="Sleeveless Crop Top with Zip"/>
        <s v="Leather Cargo Pants"/>
        <s v="Bell Button Denim with Belt Rope"/>
        <s v="Denim White Short with Tassle"/>
        <s v="3D Top-Elastic Waist (Adult)"/>
        <s v="Denim Pleated Skirt"/>
        <s v="Cape Sleeve with Pleated Fabric &amp; Sequence Band"/>
        <s v="Ruffle Mono Sleeve "/>
        <s v="Denim Colourful Bear Pant"/>
        <s v="Denim Ripped Jeans &quot;G&quot;"/>
        <s v="2pcs Plain &amp; Pattern"/>
        <s v="2pcs Flora Dress with Bag"/>
        <s v="Don't Trip"/>
        <s v="Cloudy Polo"/>
        <s v="Shinny Dress with Bag"/>
        <s v="Multicoloured Cargo Pants"/>
        <s v="National Geographic Plain Shirt Sleeve Button Down"/>
        <s v="Shinny Dress with Slant"/>
        <s v="Organza Bow Top"/>
        <s v="Sweet Top"/>
        <s v="Denim Jacket Multicoloured Paint"/>
        <s v="Spaghetti Addire Chiffon Top"/>
        <s v="Ankle Lace Blue Denim"/>
        <s v="Denim Black Short with Polka Dot Rope"/>
        <s v="Denim Peach Short Unicorn"/>
        <s v="Magenta Ruffle Dress"/>
        <s v="2pcs Sky-blue &amp; White Short and Shirt"/>
        <s v="Designer White T-shirt (Multi-colour)"/>
        <s v="Grey Cargo Pants"/>
        <s v="Indian Yellow Costume"/>
        <s v="White Shirt 777 Chain "/>
        <s v="Emporio Armani White RN"/>
        <s v="Black Boy Stripes"/>
        <s v="Rare Urban Polo"/>
        <s v="Tommy Hilfiger Polo White with Red Stripe"/>
        <s v="Hugo Boss Polo Red &amp; White Strip with Collar"/>
        <s v="Multi-colour 2 Tone Dress"/>
        <s v="2pcs Black &amp; White Shirt and Short"/>
        <s v="B2B Designer T-shirt Multicolour"/>
        <s v="Ralph Lauren Round-Neck Polo"/>
        <s v="Cargo Grey Denim"/>
        <s v="Cargo Off-White Denim"/>
        <s v="Denim Ripped Jeans with Rope"/>
        <s v="2pcs Bunny Denim Dungarees"/>
        <s v="Denim Skirt with White Belt &quot;Be Nice&quot;"/>
        <s v="National Geographic Floral Shirt Long Sleeve Button Down"/>
        <s v="SR Plain Dress Shirt Short Sleeve Button Down"/>
        <s v="SR Dress Shirt Long Sleeve Button Down (Black Stripe Down)"/>
        <s v="SR Floral Designer Dress Shirt Long Sleeve Button Down"/>
        <s v="SR Alphabet Dress Shirt Short Sleeve Button Down"/>
        <s v="Denim Skirt with Pink Belt"/>
        <s v="Dungress Gown"/>
        <s v="Half Fruity Crop Short"/>
        <s v="Check Dress with White Collar"/>
        <s v="Blue Strip Top with Woman Scarf"/>
        <s v="Cape Dress with Flowers"/>
        <s v="Black Leggings with Ankle Bow"/>
      </sharedItems>
    </cacheField>
    <cacheField name="Price" numFmtId="165">
      <sharedItems containsSemiMixedTypes="0" containsString="0" containsNumber="1" containsInteger="1" minValue="7000" maxValue="8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03.2401994213" createdVersion="7" refreshedVersion="7" minRefreshableVersion="3" recordCount="15" xr:uid="{73FA7374-8B6D-41D1-8F1D-E41632D527B8}">
  <cacheSource type="worksheet">
    <worksheetSource name="Table13"/>
  </cacheSource>
  <cacheFields count="2">
    <cacheField name="Product Name " numFmtId="0">
      <sharedItems count="15">
        <s v="Nike Sneakers"/>
        <s v="White DooDogs Sneakers (Rainbow)"/>
        <s v="Radit Sneakers"/>
        <s v="Half Shoe (Polo)"/>
        <s v="Timbz Boot (Levis)"/>
        <s v="White Sneakers"/>
        <s v="Beautiful Shinny Shoes"/>
        <s v="Black Boot (Pocket)"/>
        <s v="Black School Shoe (Girls)"/>
        <s v="Barbie Sneakers"/>
        <s v="Disco Light Sneakers"/>
        <s v="Replay Slides "/>
        <s v="Space Ship Slides"/>
        <s v="Micheal Kros (MK) Slides"/>
        <s v="Aipao Slides"/>
      </sharedItems>
    </cacheField>
    <cacheField name="Price" numFmtId="165">
      <sharedItems containsSemiMixedTypes="0" containsString="0" containsNumber="1" containsInteger="1" minValue="12500" maxValue="4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03.6026025463" createdVersion="7" refreshedVersion="7" minRefreshableVersion="3" recordCount="115" xr:uid="{C0560CC8-C129-4195-8B46-1362C5CA6C86}">
  <cacheSource type="worksheet">
    <worksheetSource name="Table7"/>
  </cacheSource>
  <cacheFields count="2">
    <cacheField name="Product Name " numFmtId="0">
      <sharedItems count="115">
        <s v="Gen-Z (All)"/>
        <s v="Denim Cargo Block Pant with White Polka Dot Belt"/>
        <s v="Crop Top &quot;Florista&quot; with Circle Rope"/>
        <s v="Micky Mouse Mono Sleeve with Side Bow"/>
        <s v="Denim Cargo Pant with Zip"/>
        <s v="Cargo Army Green Denim"/>
        <s v="Hello Kitty Romper"/>
        <s v="2pcs Naruto Jacket &amp; T-shirt"/>
        <s v="2pcs Black Jacket &amp; White T-shirt"/>
        <s v="M M"/>
        <s v="Tommy Hilfiger RN"/>
        <s v="Sweet Top"/>
        <s v="Denim Pants &quot;Good Vibe Only&quot;"/>
        <s v="Bell Buttom Trouser (Butterfly)"/>
        <s v="3 Quarter Short with Belt"/>
        <s v="3 Tone Dress Y|P|B Mathudi"/>
        <s v="Pink Fur Top"/>
        <s v="Cape Sleeve with Pleated Fabric &amp; Sequence Band"/>
        <s v="Rose Pleated Top"/>
        <s v="2pcs Top &amp; Jacket &quot;Peace Love Happinesss&quot;"/>
        <s v="2pcs Blue Multicoloured Short and Shirt"/>
        <s v="2pcs Mint Multicoloured Shirt and Short"/>
        <s v="Rare Urban Children"/>
        <s v="New York T-shirt"/>
        <s v="Don't Trip"/>
        <s v="Cloudy Polo"/>
        <s v="Sleeveless Crop Top with Zip"/>
        <s v="Check Hood Jacket"/>
        <s v="Cargo Denim Black (Toy Pocket)"/>
        <s v="Sailor Denim Short"/>
        <s v="Ruffle Mono Sleeve "/>
        <s v="2pcs Wine Jacket &amp; White T-shirt"/>
        <s v="2pcs YouGotMeThinking T-shirt and Short"/>
        <s v="2pcs Flora Dress with Bag"/>
        <s v="2pcs Ferry Black Shirt &amp; White Jacket"/>
        <s v="3pcs Jacket, Trouser &amp; Top"/>
        <s v="Tommy Hilfiger Polo Red White Navy Stripe"/>
        <s v="Skyla Polo"/>
        <s v="Cargo Blue Denim"/>
        <s v="Camo Trouser"/>
        <s v="Cargo Black Denim"/>
        <s v="Denim Pleated Skirt"/>
        <s v="Run Kids T-shirt"/>
        <s v="Multi-colour 3 Tone Dress with Puff"/>
        <s v="Organza Bow Top"/>
        <s v="2pcs Brown &amp; White Short and Top"/>
        <s v="2pcs Black &amp; Multi-coloured Short and Shirt"/>
        <s v="2pcs Army &amp; White Short and Shirt"/>
        <s v="2pcs 3 Tone Gold &amp; Brown Short and Shirt"/>
        <s v="2pcs Sweat Shirt and Joggers"/>
        <s v="2pcs White Butterfly Top &amp; Short"/>
        <s v="2pcs Plain &amp; Pattern"/>
        <s v="3pcs Denim Pant, Top, Jacket &amp; White Top"/>
        <s v="Miu Miu Stone Shirts"/>
        <s v="White Medc Shirt with Black Bottom"/>
        <s v="Black Stone T-shirt White Bottom"/>
        <s v="Black White Shirts Happy Stones"/>
        <s v="Space Crew Blue Lemon"/>
        <s v="Designer White T-shirt (Multi-colour)"/>
        <s v="Sleeveless Hoodie Shirt (Multicolour)"/>
        <s v="Tommy Hilfiger Polo New York City Skyblue"/>
        <s v="Tommy Polo White Embroidery"/>
        <s v="Leather Cargo Pants"/>
        <s v="Cargo Green Pants"/>
        <s v="Ankle Lace Blue Denim"/>
        <s v="Bell Button Denim with Belt Rope"/>
        <s v="Denim Colourful Bear Pant"/>
        <s v="Denim Ripped Jeans &quot;G&quot;"/>
        <s v="Denim Peach Short Unicorn"/>
        <s v="Denim White Short with Tassle"/>
        <s v="Denim Black Short with Polka Dot Rope"/>
        <s v="Multicoloured Check Dress"/>
        <s v="National Geographic Plain Shirt Sleeve Button Down"/>
        <s v="3D Top-Elastic Waist (Adult)"/>
        <s v="Magenta Ruffle Dress"/>
        <s v="Multi-colour 2 Tone Dress"/>
        <s v="Cape Dress with Flowers"/>
        <s v="Fur &amp; Tulle Dress"/>
        <s v="Shinny Dress with Bag"/>
        <s v="Shinny Dress with Slant"/>
        <s v="Baby Dress with Roses"/>
        <s v="Check Dress with White Collar"/>
        <s v="Half Fruity Crop Short"/>
        <s v="2pcs Sky-blue &amp; White Short and Shirt"/>
        <s v="2pcs Black &amp; White Shirt and Short"/>
        <s v="2pcs Bunny Denim Dungarees"/>
        <s v="2pcs Denim Jacket &amp; Trouser with Pearls"/>
        <s v="2pcs Long Sleeve Shirt &amp; Skyblue Waist Coat"/>
        <s v="Emporio Armani White RN"/>
        <s v="White Shirt 777 Chain "/>
        <s v="Black Boy Stripes"/>
        <s v="B2B Designer T-shirt Multicolour"/>
        <s v="Rare Urban Polo"/>
        <s v="Ralph Lauren Round-Neck Polo"/>
        <s v="Blue Strip Top with Woman Scarf"/>
        <s v="Denim Jacket Multicoloured Paint"/>
        <s v="Multicoloured Cargo Pants"/>
        <s v="Grey Cargo Pants"/>
        <s v="Cargo Grey Denim"/>
        <s v="Cargo Off-White Denim"/>
        <s v="Denim Ripped Jeans with Rope"/>
        <s v="Denim Skirt with Pink Belt"/>
        <s v="Denim Skirt with White Belt &quot;Be Nice&quot;"/>
        <s v="Black Leggings with Ankle Bow"/>
        <s v="Tommy Hilfiger Polo White with Red Stripe"/>
        <s v="Hugo Boss Polo Red &amp; White Strip with Collar"/>
        <s v="Dungress Gown"/>
        <s v="National Geographic Floral Shirt Long Sleeve Button Down"/>
        <s v="SR Plain Dress Shirt Short Sleeve Button Down"/>
        <s v="SR Dress Shirt Long Sleeve Button Down (Black Stripe Down)"/>
        <s v="SR Floral Designer Dress Shirt Long Sleeve Button Down"/>
        <s v="SR Alphabet Dress Shirt Short Sleeve Button Down"/>
        <s v="Chiffon Addire Crop Top"/>
        <s v="Spaghetti Addire Chiffon Top"/>
        <s v="Indian Yellow Costume"/>
      </sharedItems>
    </cacheField>
    <cacheField name="Quantity Sold" numFmtId="0">
      <sharedItems containsSemiMixedTypes="0" containsString="0" containsNumber="1" containsInteger="1" minValue="1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03.67514039352" createdVersion="7" refreshedVersion="7" minRefreshableVersion="3" recordCount="221" xr:uid="{6FE495FB-81CC-486B-BA4C-94261D3961F8}">
  <cacheSource type="worksheet">
    <worksheetSource name="Table14"/>
  </cacheSource>
  <cacheFields count="2">
    <cacheField name="Age(Size)" numFmtId="0">
      <sharedItems count="18">
        <s v="8yrs"/>
        <s v="2yrs"/>
        <s v="5yrs"/>
        <s v="7yrs"/>
        <s v="6yrs"/>
        <s v="15yrs"/>
        <s v="18yrs"/>
        <s v="10yrs"/>
        <s v="4yrs"/>
        <s v="3yrs"/>
        <s v="1yr"/>
        <s v="11yrs"/>
        <s v="9yrs"/>
        <s v="14yrs"/>
        <s v="13yrs"/>
        <s v="12yrs"/>
        <s v="16yrs"/>
        <s v="11yr"/>
      </sharedItems>
    </cacheField>
    <cacheField name="Count of Ag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03.678944212967" createdVersion="7" refreshedVersion="7" minRefreshableVersion="3" recordCount="32" xr:uid="{B87DA2F0-41B2-4A68-8FE5-42BBB45F6D46}">
  <cacheSource type="worksheet">
    <worksheetSource name="Table15"/>
  </cacheSource>
  <cacheFields count="1">
    <cacheField name="Shoe(Size)" numFmtId="0">
      <sharedItems containsSemiMixedTypes="0" containsString="0" containsNumber="1" containsInteger="1" minValue="25" maxValue="40" count="14">
        <n v="30"/>
        <n v="26"/>
        <n v="33"/>
        <n v="29"/>
        <n v="32"/>
        <n v="34"/>
        <n v="35"/>
        <n v="28"/>
        <n v="40"/>
        <n v="39"/>
        <n v="25"/>
        <n v="37"/>
        <n v="38"/>
        <n v="3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03.683488194445" createdVersion="7" refreshedVersion="7" minRefreshableVersion="3" recordCount="19" xr:uid="{04E039A1-AD5B-4800-BD75-C2E4EF85FAE6}">
  <cacheSource type="worksheet">
    <worksheetSource name="Table16"/>
  </cacheSource>
  <cacheFields count="1">
    <cacheField name="Clothes(Size)" numFmtId="0">
      <sharedItems count="4">
        <s v="L"/>
        <s v="XL"/>
        <s v="XXL"/>
        <s v="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07.488852083334" createdVersion="7" refreshedVersion="7" minRefreshableVersion="3" recordCount="109" xr:uid="{426A95AE-0B07-4BD6-8966-D9B01F057F84}">
  <cacheSource type="worksheet">
    <worksheetSource name="Table18"/>
  </cacheSource>
  <cacheFields count="3">
    <cacheField name="Product Name " numFmtId="0">
      <sharedItems count="109">
        <s v="Gen-Z (All)"/>
        <s v="Denim Cargo Block Pant with White Polka Dot Belt"/>
        <s v="2pcs Naruto Jacket &amp; T-shirt"/>
        <s v="Denim Cargo Pant with Zip"/>
        <s v="2pcs YouGotMeThinking T-shirt and Short"/>
        <s v="2pcs Black Jacket &amp; White T-shirt"/>
        <s v="3 Tone Dress Y|P|B Mathudi"/>
        <s v="Cargo Army Green Denim"/>
        <s v="M M"/>
        <s v="Tommy Hilfiger RN"/>
        <s v="2pcs Wine Jacket &amp; White T-shirt"/>
        <s v="2pcs Mint Multicoloured Shirt and Short"/>
        <s v="Check Hood Jacket"/>
        <s v="Denim Pants &quot;Good Vibe Only&quot;"/>
        <s v="Bell Buttom Trouser (Butterfly)"/>
        <s v="New York T-shirt"/>
        <s v="Skyla Polo"/>
        <s v="3pcs Jacket, Trouser &amp; Top"/>
        <s v="2pcs Blue Multicoloured Short and Shirt"/>
        <s v="Cargo Denim Black (Toy Pocket)"/>
        <s v="Crop Top &quot;Florista&quot; with Circle Rope"/>
        <s v="Run Kids T-shirt"/>
        <s v="Camo Trouser"/>
        <s v="3 Quarter Short with Belt"/>
        <s v="Pink Fur Top"/>
        <s v="Multi-colour 3 Tone Dress with Puff"/>
        <s v="2pcs Sweat Shirt and Joggers"/>
        <s v="White Medc Shirt with Black Bottom"/>
        <s v="Black Stone T-shirt White Bottom"/>
        <s v="Black White Shirts Happy Stones"/>
        <s v="Rare Urban Children"/>
        <s v="Tommy Hilfiger Polo Red White Navy Stripe"/>
        <s v="Tommy Polo White Embroidery"/>
        <s v="2pcs Ferry Black Shirt &amp; White Jacket"/>
        <s v="2pcs Top &amp; Jacket &quot;Peace Love Happinesss&quot;"/>
        <s v="Micky Mouse Mono Sleeve with Side Bow"/>
        <s v="Cargo Blue Denim"/>
        <s v="Cargo Black Denim"/>
        <s v="3pcs Denim Pant, Top, Jacket &amp; White Top"/>
        <s v="Sailor Denim Short"/>
        <s v="Hello Kitty Romper"/>
        <s v="Multicoloured Check Dress"/>
        <s v="2pcs Brown &amp; White Short and Top"/>
        <s v="2pcs Black &amp; Multi-coloured Short and Shirt"/>
        <s v="2pcs 3 Tone Gold &amp; Brown Short and Shirt"/>
        <s v="Cargo Green Pants"/>
        <s v="Miu Miu Stone Shirts"/>
        <s v="Space Crew Blue Lemon"/>
        <s v="Rose Pleated Top"/>
        <s v="2pcs Army &amp; White Short and Shirt"/>
        <s v="2pcs White Butterfly Top &amp; Short"/>
        <s v="Tommy Hilfiger Polo New York City Skyblue"/>
        <s v="Sleeveless Crop Top with Zip"/>
        <s v="Leather Cargo Pants"/>
        <s v="Bell Button Denim with Belt Rope"/>
        <s v="Denim White Short with Tassle"/>
        <s v="3D Top-Elastic Waist (Adult)"/>
        <s v="Denim Pleated Skirt"/>
        <s v="Cape Sleeve with Pleated Fabric &amp; Sequence Band"/>
        <s v="Ruffle Mono Sleeve "/>
        <s v="Denim Colourful Bear Pant"/>
        <s v="Denim Ripped Jeans &quot;G&quot;"/>
        <s v="2pcs Plain &amp; Pattern"/>
        <s v="2pcs Flora Dress with Bag"/>
        <s v="Don't Trip"/>
        <s v="Cloudy Polo"/>
        <s v="Shinny Dress with Bag"/>
        <s v="Multicoloured Cargo Pants"/>
        <s v="National Geographic Plain Shirt Sleeve Button Down"/>
        <s v="Shinny Dress with Slant"/>
        <s v="Organza Bow Top"/>
        <s v="Sweet Top"/>
        <s v="Denim Jacket Multicoloured Paint"/>
        <s v="Spaghetti Addire Chiffon Top"/>
        <s v="Ankle Lace Blue Denim"/>
        <s v="Denim Black Short with Polka Dot Rope"/>
        <s v="Denim Peach Short Unicorn"/>
        <s v="Magenta Ruffle Dress"/>
        <s v="2pcs Sky-blue &amp; White Short and Shirt"/>
        <s v="Designer White T-shirt (Multi-colour)"/>
        <s v="Grey Cargo Pants"/>
        <s v="Indian Yellow Costume"/>
        <s v="White Shirt 777 Chain "/>
        <s v="Emporio Armani White RN"/>
        <s v="Black Boy Stripes"/>
        <s v="Rare Urban Polo"/>
        <s v="Tommy Hilfiger Polo White with Red Stripe"/>
        <s v="Hugo Boss Polo Red &amp; White Strip with Collar"/>
        <s v="Multi-colour 2 Tone Dress"/>
        <s v="2pcs Black &amp; White Shirt and Short"/>
        <s v="B2B Designer T-shirt Multicolour"/>
        <s v="Ralph Lauren Round-Neck Polo"/>
        <s v="Cargo Grey Denim"/>
        <s v="Cargo Off-White Denim"/>
        <s v="Denim Ripped Jeans with Rope"/>
        <s v="2pcs Bunny Denim Dungarees"/>
        <s v="Denim Skirt with White Belt &quot;Be Nice&quot;"/>
        <s v="National Geographic Floral Shirt Long Sleeve Button Down"/>
        <s v="SR Plain Dress Shirt Short Sleeve Button Down"/>
        <s v="SR Dress Shirt Long Sleeve Button Down (Black Stripe Down)"/>
        <s v="SR Floral Designer Dress Shirt Long Sleeve Button Down"/>
        <s v="SR Alphabet Dress Shirt Short Sleeve Button Down"/>
        <s v="Denim Skirt with Pink Belt"/>
        <s v="Dungress Gown"/>
        <s v="Half Fruity Crop Short"/>
        <s v="Check Dress with White Collar"/>
        <s v="Blue Strip Top with Woman Scarf"/>
        <s v="Cape Dress with Flowers"/>
        <s v="Black Leggings with Ankle Bow"/>
      </sharedItems>
    </cacheField>
    <cacheField name="Price" numFmtId="165">
      <sharedItems containsSemiMixedTypes="0" containsString="0" containsNumber="1" containsInteger="1" minValue="7000" maxValue="840000"/>
    </cacheField>
    <cacheField name="Quantity Sold" numFmtId="0">
      <sharedItems containsString="0" containsBlank="1" containsNumber="1" containsInteger="1" minValue="3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x v="0"/>
    <n v="1"/>
  </r>
  <r>
    <x v="1"/>
    <n v="2"/>
  </r>
  <r>
    <x v="2"/>
    <n v="2"/>
  </r>
  <r>
    <x v="3"/>
    <n v="1"/>
  </r>
  <r>
    <x v="4"/>
    <n v="2"/>
  </r>
  <r>
    <x v="5"/>
    <n v="1"/>
  </r>
  <r>
    <x v="3"/>
    <n v="1"/>
  </r>
  <r>
    <x v="2"/>
    <n v="1"/>
  </r>
  <r>
    <x v="3"/>
    <n v="1"/>
  </r>
  <r>
    <x v="2"/>
    <n v="1"/>
  </r>
  <r>
    <x v="6"/>
    <n v="1"/>
  </r>
  <r>
    <x v="5"/>
    <n v="1"/>
  </r>
  <r>
    <x v="7"/>
    <n v="1"/>
  </r>
  <r>
    <x v="8"/>
    <n v="2"/>
  </r>
  <r>
    <x v="9"/>
    <n v="1"/>
  </r>
  <r>
    <x v="10"/>
    <n v="3"/>
  </r>
  <r>
    <x v="11"/>
    <n v="1"/>
  </r>
  <r>
    <x v="12"/>
    <n v="1"/>
  </r>
  <r>
    <x v="13"/>
    <n v="2"/>
  </r>
  <r>
    <x v="10"/>
    <n v="3"/>
  </r>
  <r>
    <x v="11"/>
    <n v="1"/>
  </r>
  <r>
    <x v="2"/>
    <n v="2"/>
  </r>
  <r>
    <x v="11"/>
    <n v="2"/>
  </r>
  <r>
    <x v="2"/>
    <n v="2"/>
  </r>
  <r>
    <x v="3"/>
    <n v="2"/>
  </r>
  <r>
    <x v="14"/>
    <n v="2"/>
  </r>
  <r>
    <x v="2"/>
    <n v="4"/>
  </r>
  <r>
    <x v="15"/>
    <n v="1"/>
  </r>
  <r>
    <x v="16"/>
    <n v="1"/>
  </r>
  <r>
    <x v="17"/>
    <n v="1"/>
  </r>
  <r>
    <x v="18"/>
    <n v="1"/>
  </r>
  <r>
    <x v="19"/>
    <n v="2"/>
  </r>
  <r>
    <x v="15"/>
    <n v="1"/>
  </r>
  <r>
    <x v="18"/>
    <n v="1"/>
  </r>
  <r>
    <x v="2"/>
    <n v="2"/>
  </r>
  <r>
    <x v="6"/>
    <n v="1"/>
  </r>
  <r>
    <x v="2"/>
    <n v="3"/>
  </r>
  <r>
    <x v="17"/>
    <n v="2"/>
  </r>
  <r>
    <x v="0"/>
    <n v="1"/>
  </r>
  <r>
    <x v="9"/>
    <n v="1"/>
  </r>
  <r>
    <x v="20"/>
    <n v="1"/>
  </r>
  <r>
    <x v="7"/>
    <n v="1"/>
  </r>
  <r>
    <x v="21"/>
    <n v="1"/>
  </r>
  <r>
    <x v="22"/>
    <n v="1"/>
  </r>
  <r>
    <x v="20"/>
    <n v="1"/>
  </r>
  <r>
    <x v="11"/>
    <n v="1"/>
  </r>
  <r>
    <x v="6"/>
    <n v="1"/>
  </r>
  <r>
    <x v="15"/>
    <n v="1"/>
  </r>
  <r>
    <x v="13"/>
    <n v="1"/>
  </r>
  <r>
    <x v="15"/>
    <n v="5"/>
  </r>
  <r>
    <x v="23"/>
    <n v="1"/>
  </r>
  <r>
    <x v="20"/>
    <n v="1"/>
  </r>
  <r>
    <x v="13"/>
    <n v="1"/>
  </r>
  <r>
    <x v="20"/>
    <n v="3"/>
  </r>
  <r>
    <x v="24"/>
    <n v="1"/>
  </r>
  <r>
    <x v="25"/>
    <n v="1"/>
  </r>
  <r>
    <x v="6"/>
    <n v="2"/>
  </r>
  <r>
    <x v="10"/>
    <n v="2"/>
  </r>
  <r>
    <x v="15"/>
    <n v="1"/>
  </r>
  <r>
    <x v="13"/>
    <n v="1"/>
  </r>
  <r>
    <x v="18"/>
    <n v="1"/>
  </r>
  <r>
    <x v="3"/>
    <n v="1"/>
  </r>
  <r>
    <x v="2"/>
    <n v="1"/>
  </r>
  <r>
    <x v="26"/>
    <n v="1"/>
  </r>
  <r>
    <x v="3"/>
    <n v="1"/>
  </r>
  <r>
    <x v="15"/>
    <n v="1"/>
  </r>
  <r>
    <x v="23"/>
    <n v="1"/>
  </r>
  <r>
    <x v="27"/>
    <n v="2"/>
  </r>
  <r>
    <x v="28"/>
    <n v="6"/>
  </r>
  <r>
    <x v="29"/>
    <n v="1"/>
  </r>
  <r>
    <x v="27"/>
    <n v="1"/>
  </r>
  <r>
    <x v="1"/>
    <n v="1"/>
  </r>
  <r>
    <x v="17"/>
    <n v="1"/>
  </r>
  <r>
    <x v="30"/>
    <n v="1"/>
  </r>
  <r>
    <x v="9"/>
    <n v="2"/>
  </r>
  <r>
    <x v="15"/>
    <n v="1"/>
  </r>
  <r>
    <x v="20"/>
    <n v="1"/>
  </r>
  <r>
    <x v="17"/>
    <n v="1"/>
  </r>
  <r>
    <x v="2"/>
    <n v="1"/>
  </r>
  <r>
    <x v="3"/>
    <n v="1"/>
  </r>
  <r>
    <x v="31"/>
    <n v="1"/>
  </r>
  <r>
    <x v="1"/>
    <n v="1"/>
  </r>
  <r>
    <x v="15"/>
    <n v="1"/>
  </r>
  <r>
    <x v="16"/>
    <n v="1"/>
  </r>
  <r>
    <x v="3"/>
    <n v="1"/>
  </r>
  <r>
    <x v="17"/>
    <n v="2"/>
  </r>
  <r>
    <x v="13"/>
    <n v="1"/>
  </r>
  <r>
    <x v="12"/>
    <n v="1"/>
  </r>
  <r>
    <x v="16"/>
    <n v="1"/>
  </r>
  <r>
    <x v="9"/>
    <n v="1"/>
  </r>
  <r>
    <x v="17"/>
    <n v="1"/>
  </r>
  <r>
    <x v="9"/>
    <n v="1"/>
  </r>
  <r>
    <x v="17"/>
    <n v="1"/>
  </r>
  <r>
    <x v="15"/>
    <n v="1"/>
  </r>
  <r>
    <x v="17"/>
    <n v="1"/>
  </r>
  <r>
    <x v="15"/>
    <n v="1"/>
  </r>
  <r>
    <x v="18"/>
    <n v="1"/>
  </r>
  <r>
    <x v="9"/>
    <n v="1"/>
  </r>
  <r>
    <x v="3"/>
    <n v="1"/>
  </r>
  <r>
    <x v="9"/>
    <n v="3"/>
  </r>
  <r>
    <x v="17"/>
    <n v="4"/>
  </r>
  <r>
    <x v="32"/>
    <n v="7"/>
  </r>
  <r>
    <x v="6"/>
    <n v="5"/>
  </r>
  <r>
    <x v="17"/>
    <n v="8"/>
  </r>
  <r>
    <x v="33"/>
    <n v="2"/>
  </r>
  <r>
    <x v="33"/>
    <n v="3"/>
  </r>
  <r>
    <x v="34"/>
    <n v="2"/>
  </r>
  <r>
    <x v="34"/>
    <n v="2"/>
  </r>
  <r>
    <x v="6"/>
    <n v="3"/>
  </r>
  <r>
    <x v="17"/>
    <n v="2"/>
  </r>
  <r>
    <x v="13"/>
    <n v="1"/>
  </r>
  <r>
    <x v="8"/>
    <n v="1"/>
  </r>
  <r>
    <x v="3"/>
    <n v="1"/>
  </r>
  <r>
    <x v="33"/>
    <n v="1"/>
  </r>
  <r>
    <x v="34"/>
    <n v="1"/>
  </r>
  <r>
    <x v="18"/>
    <n v="2"/>
  </r>
  <r>
    <x v="26"/>
    <n v="2"/>
  </r>
  <r>
    <x v="35"/>
    <n v="1"/>
  </r>
  <r>
    <x v="6"/>
    <n v="1"/>
  </r>
  <r>
    <x v="15"/>
    <n v="1"/>
  </r>
  <r>
    <x v="2"/>
    <n v="1"/>
  </r>
  <r>
    <x v="17"/>
    <n v="1"/>
  </r>
  <r>
    <x v="2"/>
    <n v="1"/>
  </r>
  <r>
    <x v="36"/>
    <n v="1"/>
  </r>
  <r>
    <x v="9"/>
    <n v="1"/>
  </r>
  <r>
    <x v="15"/>
    <n v="2"/>
  </r>
  <r>
    <x v="24"/>
    <n v="1"/>
  </r>
  <r>
    <x v="13"/>
    <n v="1"/>
  </r>
  <r>
    <x v="15"/>
    <n v="1"/>
  </r>
  <r>
    <x v="15"/>
    <n v="1"/>
  </r>
  <r>
    <x v="37"/>
    <n v="1"/>
  </r>
  <r>
    <x v="9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</r>
  <r>
    <x v="1"/>
    <x v="0"/>
  </r>
  <r>
    <x v="0"/>
    <x v="0"/>
  </r>
  <r>
    <x v="2"/>
    <x v="0"/>
  </r>
  <r>
    <x v="3"/>
    <x v="0"/>
  </r>
  <r>
    <x v="4"/>
    <x v="0"/>
  </r>
  <r>
    <x v="5"/>
    <x v="0"/>
  </r>
  <r>
    <x v="1"/>
    <x v="0"/>
  </r>
  <r>
    <x v="0"/>
    <x v="0"/>
  </r>
  <r>
    <x v="1"/>
    <x v="0"/>
  </r>
  <r>
    <x v="6"/>
    <x v="1"/>
  </r>
  <r>
    <x v="0"/>
    <x v="0"/>
  </r>
  <r>
    <x v="0"/>
    <x v="0"/>
  </r>
  <r>
    <x v="6"/>
    <x v="1"/>
  </r>
  <r>
    <x v="7"/>
    <x v="1"/>
  </r>
  <r>
    <x v="8"/>
    <x v="2"/>
  </r>
  <r>
    <x v="9"/>
    <x v="3"/>
  </r>
  <r>
    <x v="1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2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2"/>
  </r>
  <r>
    <x v="8"/>
    <n v="1"/>
  </r>
  <r>
    <x v="9"/>
    <n v="2"/>
  </r>
  <r>
    <x v="10"/>
    <n v="4"/>
  </r>
  <r>
    <x v="11"/>
    <n v="1"/>
  </r>
  <r>
    <x v="12"/>
    <n v="15"/>
  </r>
  <r>
    <x v="13"/>
    <n v="6"/>
  </r>
  <r>
    <x v="14"/>
    <n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x v="0"/>
    <n v="840000"/>
  </r>
  <r>
    <x v="1"/>
    <n v="240500"/>
  </r>
  <r>
    <x v="2"/>
    <n v="175000"/>
  </r>
  <r>
    <x v="3"/>
    <n v="140000"/>
  </r>
  <r>
    <x v="4"/>
    <n v="135000"/>
  </r>
  <r>
    <x v="5"/>
    <n v="125000"/>
  </r>
  <r>
    <x v="6"/>
    <n v="125000"/>
  </r>
  <r>
    <x v="7"/>
    <n v="120000"/>
  </r>
  <r>
    <x v="8"/>
    <n v="112500"/>
  </r>
  <r>
    <x v="9"/>
    <n v="112500"/>
  </r>
  <r>
    <x v="10"/>
    <n v="105000"/>
  </r>
  <r>
    <x v="11"/>
    <n v="100000"/>
  </r>
  <r>
    <x v="12"/>
    <n v="100000"/>
  </r>
  <r>
    <x v="13"/>
    <n v="92500"/>
  </r>
  <r>
    <x v="14"/>
    <n v="92500"/>
  </r>
  <r>
    <x v="15"/>
    <n v="90000"/>
  </r>
  <r>
    <x v="16"/>
    <n v="90000"/>
  </r>
  <r>
    <x v="17"/>
    <n v="82500"/>
  </r>
  <r>
    <x v="18"/>
    <n v="80000"/>
  </r>
  <r>
    <x v="19"/>
    <n v="74000"/>
  </r>
  <r>
    <x v="20"/>
    <n v="67500"/>
  </r>
  <r>
    <x v="21"/>
    <n v="67500"/>
  </r>
  <r>
    <x v="22"/>
    <n v="66000"/>
  </r>
  <r>
    <x v="23"/>
    <n v="65000"/>
  </r>
  <r>
    <x v="24"/>
    <n v="62000"/>
  </r>
  <r>
    <x v="25"/>
    <n v="60000"/>
  </r>
  <r>
    <x v="26"/>
    <n v="60000"/>
  </r>
  <r>
    <x v="27"/>
    <n v="60000"/>
  </r>
  <r>
    <x v="28"/>
    <n v="60000"/>
  </r>
  <r>
    <x v="29"/>
    <n v="60000"/>
  </r>
  <r>
    <x v="30"/>
    <n v="60000"/>
  </r>
  <r>
    <x v="31"/>
    <n v="60000"/>
  </r>
  <r>
    <x v="32"/>
    <n v="60000"/>
  </r>
  <r>
    <x v="33"/>
    <n v="58500"/>
  </r>
  <r>
    <x v="34"/>
    <n v="58000"/>
  </r>
  <r>
    <x v="35"/>
    <n v="56000"/>
  </r>
  <r>
    <x v="36"/>
    <n v="55500"/>
  </r>
  <r>
    <x v="37"/>
    <n v="55500"/>
  </r>
  <r>
    <x v="38"/>
    <n v="55000"/>
  </r>
  <r>
    <x v="39"/>
    <n v="54000"/>
  </r>
  <r>
    <x v="40"/>
    <n v="52500"/>
  </r>
  <r>
    <x v="41"/>
    <n v="52000"/>
  </r>
  <r>
    <x v="42"/>
    <n v="50000"/>
  </r>
  <r>
    <x v="43"/>
    <n v="50000"/>
  </r>
  <r>
    <x v="44"/>
    <n v="50000"/>
  </r>
  <r>
    <x v="45"/>
    <n v="50000"/>
  </r>
  <r>
    <x v="46"/>
    <n v="47000"/>
  </r>
  <r>
    <x v="47"/>
    <n v="45000"/>
  </r>
  <r>
    <x v="48"/>
    <n v="42000"/>
  </r>
  <r>
    <x v="49"/>
    <n v="40000"/>
  </r>
  <r>
    <x v="50"/>
    <n v="40000"/>
  </r>
  <r>
    <x v="51"/>
    <n v="40000"/>
  </r>
  <r>
    <x v="52"/>
    <n v="40000"/>
  </r>
  <r>
    <x v="53"/>
    <n v="40000"/>
  </r>
  <r>
    <x v="54"/>
    <n v="40000"/>
  </r>
  <r>
    <x v="55"/>
    <n v="40000"/>
  </r>
  <r>
    <x v="56"/>
    <n v="40000"/>
  </r>
  <r>
    <x v="57"/>
    <n v="39000"/>
  </r>
  <r>
    <x v="58"/>
    <n v="38000"/>
  </r>
  <r>
    <x v="59"/>
    <n v="37500"/>
  </r>
  <r>
    <x v="60"/>
    <n v="37000"/>
  </r>
  <r>
    <x v="61"/>
    <n v="37000"/>
  </r>
  <r>
    <x v="62"/>
    <n v="36000"/>
  </r>
  <r>
    <x v="63"/>
    <n v="36000"/>
  </r>
  <r>
    <x v="64"/>
    <n v="36000"/>
  </r>
  <r>
    <x v="65"/>
    <n v="36000"/>
  </r>
  <r>
    <x v="66"/>
    <n v="35000"/>
  </r>
  <r>
    <x v="67"/>
    <n v="35000"/>
  </r>
  <r>
    <x v="68"/>
    <n v="31000"/>
  </r>
  <r>
    <x v="69"/>
    <n v="30000"/>
  </r>
  <r>
    <x v="70"/>
    <n v="30000"/>
  </r>
  <r>
    <x v="71"/>
    <n v="30000"/>
  </r>
  <r>
    <x v="72"/>
    <n v="30000"/>
  </r>
  <r>
    <x v="73"/>
    <n v="30000"/>
  </r>
  <r>
    <x v="74"/>
    <n v="28000"/>
  </r>
  <r>
    <x v="75"/>
    <n v="27000"/>
  </r>
  <r>
    <x v="76"/>
    <n v="26000"/>
  </r>
  <r>
    <x v="77"/>
    <n v="25000"/>
  </r>
  <r>
    <x v="78"/>
    <n v="25000"/>
  </r>
  <r>
    <x v="79"/>
    <n v="25000"/>
  </r>
  <r>
    <x v="80"/>
    <n v="25000"/>
  </r>
  <r>
    <x v="81"/>
    <n v="25000"/>
  </r>
  <r>
    <x v="82"/>
    <n v="23000"/>
  </r>
  <r>
    <x v="83"/>
    <n v="22500"/>
  </r>
  <r>
    <x v="84"/>
    <n v="22500"/>
  </r>
  <r>
    <x v="85"/>
    <n v="22500"/>
  </r>
  <r>
    <x v="86"/>
    <n v="22500"/>
  </r>
  <r>
    <x v="87"/>
    <n v="22500"/>
  </r>
  <r>
    <x v="88"/>
    <n v="20000"/>
  </r>
  <r>
    <x v="89"/>
    <n v="20000"/>
  </r>
  <r>
    <x v="90"/>
    <n v="20000"/>
  </r>
  <r>
    <x v="91"/>
    <n v="20000"/>
  </r>
  <r>
    <x v="92"/>
    <n v="18500"/>
  </r>
  <r>
    <x v="93"/>
    <n v="18500"/>
  </r>
  <r>
    <x v="94"/>
    <n v="18500"/>
  </r>
  <r>
    <x v="95"/>
    <n v="17500"/>
  </r>
  <r>
    <x v="96"/>
    <n v="15500"/>
  </r>
  <r>
    <x v="97"/>
    <n v="15500"/>
  </r>
  <r>
    <x v="98"/>
    <n v="15500"/>
  </r>
  <r>
    <x v="99"/>
    <n v="15500"/>
  </r>
  <r>
    <x v="100"/>
    <n v="15500"/>
  </r>
  <r>
    <x v="101"/>
    <n v="15500"/>
  </r>
  <r>
    <x v="102"/>
    <n v="13000"/>
  </r>
  <r>
    <x v="103"/>
    <n v="13000"/>
  </r>
  <r>
    <x v="104"/>
    <n v="12000"/>
  </r>
  <r>
    <x v="105"/>
    <n v="11500"/>
  </r>
  <r>
    <x v="106"/>
    <n v="10500"/>
  </r>
  <r>
    <x v="107"/>
    <n v="9500"/>
  </r>
  <r>
    <x v="108"/>
    <n v="70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490000"/>
  </r>
  <r>
    <x v="1"/>
    <n v="180000"/>
  </r>
  <r>
    <x v="2"/>
    <n v="100000"/>
  </r>
  <r>
    <x v="3"/>
    <n v="60000"/>
  </r>
  <r>
    <x v="4"/>
    <n v="54000"/>
  </r>
  <r>
    <x v="5"/>
    <n v="42000"/>
  </r>
  <r>
    <x v="6"/>
    <n v="37000"/>
  </r>
  <r>
    <x v="7"/>
    <n v="35000"/>
  </r>
  <r>
    <x v="8"/>
    <n v="25000"/>
  </r>
  <r>
    <x v="9"/>
    <n v="25000"/>
  </r>
  <r>
    <x v="10"/>
    <n v="25000"/>
  </r>
  <r>
    <x v="11"/>
    <n v="12500"/>
  </r>
  <r>
    <x v="12"/>
    <n v="12500"/>
  </r>
  <r>
    <x v="13"/>
    <n v="12500"/>
  </r>
  <r>
    <x v="14"/>
    <n v="125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x v="0"/>
    <n v="28"/>
  </r>
  <r>
    <x v="1"/>
    <n v="13"/>
  </r>
  <r>
    <x v="2"/>
    <n v="9"/>
  </r>
  <r>
    <x v="3"/>
    <n v="7"/>
  </r>
  <r>
    <x v="4"/>
    <n v="7"/>
  </r>
  <r>
    <x v="5"/>
    <n v="6"/>
  </r>
  <r>
    <x v="6"/>
    <n v="5"/>
  </r>
  <r>
    <x v="7"/>
    <n v="5"/>
  </r>
  <r>
    <x v="8"/>
    <n v="5"/>
  </r>
  <r>
    <x v="9"/>
    <n v="5"/>
  </r>
  <r>
    <x v="10"/>
    <n v="5"/>
  </r>
  <r>
    <x v="11"/>
    <n v="5"/>
  </r>
  <r>
    <x v="12"/>
    <n v="5"/>
  </r>
  <r>
    <x v="13"/>
    <n v="5"/>
  </r>
  <r>
    <x v="14"/>
    <n v="5"/>
  </r>
  <r>
    <x v="15"/>
    <n v="5"/>
  </r>
  <r>
    <x v="16"/>
    <n v="4"/>
  </r>
  <r>
    <x v="17"/>
    <n v="4"/>
  </r>
  <r>
    <x v="18"/>
    <n v="4"/>
  </r>
  <r>
    <x v="19"/>
    <n v="4"/>
  </r>
  <r>
    <x v="20"/>
    <n v="4"/>
  </r>
  <r>
    <x v="21"/>
    <n v="4"/>
  </r>
  <r>
    <x v="22"/>
    <n v="4"/>
  </r>
  <r>
    <x v="23"/>
    <n v="4"/>
  </r>
  <r>
    <x v="24"/>
    <n v="4"/>
  </r>
  <r>
    <x v="25"/>
    <n v="4"/>
  </r>
  <r>
    <x v="26"/>
    <n v="4"/>
  </r>
  <r>
    <x v="27"/>
    <n v="4"/>
  </r>
  <r>
    <x v="28"/>
    <n v="4"/>
  </r>
  <r>
    <x v="29"/>
    <n v="4"/>
  </r>
  <r>
    <x v="30"/>
    <n v="3"/>
  </r>
  <r>
    <x v="31"/>
    <n v="3"/>
  </r>
  <r>
    <x v="32"/>
    <n v="3"/>
  </r>
  <r>
    <x v="33"/>
    <n v="3"/>
  </r>
  <r>
    <x v="34"/>
    <n v="3"/>
  </r>
  <r>
    <x v="35"/>
    <n v="3"/>
  </r>
  <r>
    <x v="36"/>
    <n v="3"/>
  </r>
  <r>
    <x v="37"/>
    <n v="3"/>
  </r>
  <r>
    <x v="38"/>
    <n v="3"/>
  </r>
  <r>
    <x v="39"/>
    <n v="3"/>
  </r>
  <r>
    <x v="40"/>
    <n v="3"/>
  </r>
  <r>
    <x v="41"/>
    <n v="3"/>
  </r>
  <r>
    <x v="42"/>
    <n v="3"/>
  </r>
  <r>
    <x v="43"/>
    <n v="2"/>
  </r>
  <r>
    <x v="44"/>
    <n v="2"/>
  </r>
  <r>
    <x v="45"/>
    <n v="2"/>
  </r>
  <r>
    <x v="46"/>
    <n v="2"/>
  </r>
  <r>
    <x v="47"/>
    <n v="2"/>
  </r>
  <r>
    <x v="48"/>
    <n v="2"/>
  </r>
  <r>
    <x v="49"/>
    <n v="2"/>
  </r>
  <r>
    <x v="50"/>
    <n v="2"/>
  </r>
  <r>
    <x v="51"/>
    <n v="2"/>
  </r>
  <r>
    <x v="52"/>
    <n v="2"/>
  </r>
  <r>
    <x v="53"/>
    <n v="2"/>
  </r>
  <r>
    <x v="54"/>
    <n v="2"/>
  </r>
  <r>
    <x v="55"/>
    <n v="2"/>
  </r>
  <r>
    <x v="56"/>
    <n v="2"/>
  </r>
  <r>
    <x v="57"/>
    <n v="2"/>
  </r>
  <r>
    <x v="58"/>
    <n v="2"/>
  </r>
  <r>
    <x v="59"/>
    <n v="2"/>
  </r>
  <r>
    <x v="60"/>
    <n v="2"/>
  </r>
  <r>
    <x v="61"/>
    <n v="2"/>
  </r>
  <r>
    <x v="62"/>
    <n v="2"/>
  </r>
  <r>
    <x v="63"/>
    <n v="2"/>
  </r>
  <r>
    <x v="64"/>
    <n v="2"/>
  </r>
  <r>
    <x v="65"/>
    <n v="2"/>
  </r>
  <r>
    <x v="66"/>
    <n v="2"/>
  </r>
  <r>
    <x v="67"/>
    <n v="2"/>
  </r>
  <r>
    <x v="68"/>
    <n v="2"/>
  </r>
  <r>
    <x v="69"/>
    <n v="2"/>
  </r>
  <r>
    <x v="70"/>
    <n v="2"/>
  </r>
  <r>
    <x v="71"/>
    <n v="2"/>
  </r>
  <r>
    <x v="72"/>
    <n v="2"/>
  </r>
  <r>
    <x v="73"/>
    <n v="2"/>
  </r>
  <r>
    <x v="74"/>
    <n v="1"/>
  </r>
  <r>
    <x v="75"/>
    <n v="1"/>
  </r>
  <r>
    <x v="76"/>
    <n v="1"/>
  </r>
  <r>
    <x v="77"/>
    <n v="1"/>
  </r>
  <r>
    <x v="78"/>
    <n v="1"/>
  </r>
  <r>
    <x v="79"/>
    <n v="1"/>
  </r>
  <r>
    <x v="80"/>
    <n v="1"/>
  </r>
  <r>
    <x v="81"/>
    <n v="1"/>
  </r>
  <r>
    <x v="82"/>
    <n v="1"/>
  </r>
  <r>
    <x v="83"/>
    <n v="1"/>
  </r>
  <r>
    <x v="84"/>
    <n v="1"/>
  </r>
  <r>
    <x v="85"/>
    <n v="1"/>
  </r>
  <r>
    <x v="86"/>
    <n v="1"/>
  </r>
  <r>
    <x v="87"/>
    <n v="1"/>
  </r>
  <r>
    <x v="88"/>
    <n v="1"/>
  </r>
  <r>
    <x v="89"/>
    <n v="1"/>
  </r>
  <r>
    <x v="90"/>
    <n v="1"/>
  </r>
  <r>
    <x v="91"/>
    <n v="1"/>
  </r>
  <r>
    <x v="92"/>
    <n v="1"/>
  </r>
  <r>
    <x v="93"/>
    <n v="1"/>
  </r>
  <r>
    <x v="94"/>
    <n v="1"/>
  </r>
  <r>
    <x v="95"/>
    <n v="1"/>
  </r>
  <r>
    <x v="96"/>
    <n v="1"/>
  </r>
  <r>
    <x v="97"/>
    <n v="1"/>
  </r>
  <r>
    <x v="98"/>
    <n v="1"/>
  </r>
  <r>
    <x v="99"/>
    <n v="1"/>
  </r>
  <r>
    <x v="100"/>
    <n v="1"/>
  </r>
  <r>
    <x v="101"/>
    <n v="1"/>
  </r>
  <r>
    <x v="102"/>
    <n v="1"/>
  </r>
  <r>
    <x v="103"/>
    <n v="1"/>
  </r>
  <r>
    <x v="104"/>
    <n v="1"/>
  </r>
  <r>
    <x v="105"/>
    <n v="1"/>
  </r>
  <r>
    <x v="106"/>
    <n v="1"/>
  </r>
  <r>
    <x v="107"/>
    <n v="1"/>
  </r>
  <r>
    <x v="108"/>
    <n v="1"/>
  </r>
  <r>
    <x v="109"/>
    <n v="1"/>
  </r>
  <r>
    <x v="110"/>
    <n v="1"/>
  </r>
  <r>
    <x v="111"/>
    <n v="1"/>
  </r>
  <r>
    <x v="112"/>
    <n v="1"/>
  </r>
  <r>
    <x v="113"/>
    <n v="1"/>
  </r>
  <r>
    <x v="114"/>
    <n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">
  <r>
    <x v="0"/>
    <m/>
  </r>
  <r>
    <x v="0"/>
    <m/>
  </r>
  <r>
    <x v="1"/>
    <m/>
  </r>
  <r>
    <x v="0"/>
    <m/>
  </r>
  <r>
    <x v="2"/>
    <m/>
  </r>
  <r>
    <x v="3"/>
    <m/>
  </r>
  <r>
    <x v="2"/>
    <m/>
  </r>
  <r>
    <x v="3"/>
    <m/>
  </r>
  <r>
    <x v="3"/>
    <m/>
  </r>
  <r>
    <x v="4"/>
    <m/>
  </r>
  <r>
    <x v="4"/>
    <m/>
  </r>
  <r>
    <x v="3"/>
    <m/>
  </r>
  <r>
    <x v="3"/>
    <m/>
  </r>
  <r>
    <x v="1"/>
    <m/>
  </r>
  <r>
    <x v="5"/>
    <m/>
  </r>
  <r>
    <x v="2"/>
    <m/>
  </r>
  <r>
    <x v="0"/>
    <m/>
  </r>
  <r>
    <x v="6"/>
    <m/>
  </r>
  <r>
    <x v="7"/>
    <m/>
  </r>
  <r>
    <x v="8"/>
    <m/>
  </r>
  <r>
    <x v="9"/>
    <m/>
  </r>
  <r>
    <x v="2"/>
    <m/>
  </r>
  <r>
    <x v="7"/>
    <m/>
  </r>
  <r>
    <x v="0"/>
    <m/>
  </r>
  <r>
    <x v="2"/>
    <m/>
  </r>
  <r>
    <x v="10"/>
    <m/>
  </r>
  <r>
    <x v="11"/>
    <m/>
  </r>
  <r>
    <x v="11"/>
    <m/>
  </r>
  <r>
    <x v="3"/>
    <m/>
  </r>
  <r>
    <x v="2"/>
    <m/>
  </r>
  <r>
    <x v="12"/>
    <m/>
  </r>
  <r>
    <x v="12"/>
    <m/>
  </r>
  <r>
    <x v="4"/>
    <m/>
  </r>
  <r>
    <x v="12"/>
    <m/>
  </r>
  <r>
    <x v="2"/>
    <m/>
  </r>
  <r>
    <x v="2"/>
    <m/>
  </r>
  <r>
    <x v="4"/>
    <m/>
  </r>
  <r>
    <x v="9"/>
    <m/>
  </r>
  <r>
    <x v="4"/>
    <m/>
  </r>
  <r>
    <x v="2"/>
    <m/>
  </r>
  <r>
    <x v="4"/>
    <m/>
  </r>
  <r>
    <x v="2"/>
    <m/>
  </r>
  <r>
    <x v="11"/>
    <m/>
  </r>
  <r>
    <x v="11"/>
    <m/>
  </r>
  <r>
    <x v="11"/>
    <m/>
  </r>
  <r>
    <x v="11"/>
    <m/>
  </r>
  <r>
    <x v="11"/>
    <m/>
  </r>
  <r>
    <x v="1"/>
    <m/>
  </r>
  <r>
    <x v="10"/>
    <m/>
  </r>
  <r>
    <x v="13"/>
    <m/>
  </r>
  <r>
    <x v="3"/>
    <m/>
  </r>
  <r>
    <x v="3"/>
    <m/>
  </r>
  <r>
    <x v="11"/>
    <m/>
  </r>
  <r>
    <x v="3"/>
    <m/>
  </r>
  <r>
    <x v="14"/>
    <m/>
  </r>
  <r>
    <x v="14"/>
    <m/>
  </r>
  <r>
    <x v="4"/>
    <m/>
  </r>
  <r>
    <x v="4"/>
    <m/>
  </r>
  <r>
    <x v="12"/>
    <m/>
  </r>
  <r>
    <x v="4"/>
    <m/>
  </r>
  <r>
    <x v="7"/>
    <m/>
  </r>
  <r>
    <x v="4"/>
    <m/>
  </r>
  <r>
    <x v="2"/>
    <m/>
  </r>
  <r>
    <x v="0"/>
    <m/>
  </r>
  <r>
    <x v="2"/>
    <m/>
  </r>
  <r>
    <x v="4"/>
    <m/>
  </r>
  <r>
    <x v="4"/>
    <m/>
  </r>
  <r>
    <x v="0"/>
    <m/>
  </r>
  <r>
    <x v="14"/>
    <m/>
  </r>
  <r>
    <x v="8"/>
    <m/>
  </r>
  <r>
    <x v="12"/>
    <m/>
  </r>
  <r>
    <x v="4"/>
    <m/>
  </r>
  <r>
    <x v="8"/>
    <m/>
  </r>
  <r>
    <x v="9"/>
    <m/>
  </r>
  <r>
    <x v="2"/>
    <m/>
  </r>
  <r>
    <x v="2"/>
    <m/>
  </r>
  <r>
    <x v="2"/>
    <m/>
  </r>
  <r>
    <x v="4"/>
    <m/>
  </r>
  <r>
    <x v="8"/>
    <m/>
  </r>
  <r>
    <x v="0"/>
    <m/>
  </r>
  <r>
    <x v="3"/>
    <m/>
  </r>
  <r>
    <x v="11"/>
    <m/>
  </r>
  <r>
    <x v="12"/>
    <m/>
  </r>
  <r>
    <x v="0"/>
    <m/>
  </r>
  <r>
    <x v="8"/>
    <m/>
  </r>
  <r>
    <x v="8"/>
    <m/>
  </r>
  <r>
    <x v="11"/>
    <m/>
  </r>
  <r>
    <x v="0"/>
    <m/>
  </r>
  <r>
    <x v="2"/>
    <m/>
  </r>
  <r>
    <x v="12"/>
    <m/>
  </r>
  <r>
    <x v="7"/>
    <m/>
  </r>
  <r>
    <x v="11"/>
    <m/>
  </r>
  <r>
    <x v="2"/>
    <m/>
  </r>
  <r>
    <x v="3"/>
    <m/>
  </r>
  <r>
    <x v="9"/>
    <m/>
  </r>
  <r>
    <x v="14"/>
    <m/>
  </r>
  <r>
    <x v="3"/>
    <m/>
  </r>
  <r>
    <x v="3"/>
    <m/>
  </r>
  <r>
    <x v="2"/>
    <m/>
  </r>
  <r>
    <x v="7"/>
    <m/>
  </r>
  <r>
    <x v="11"/>
    <m/>
  </r>
  <r>
    <x v="8"/>
    <m/>
  </r>
  <r>
    <x v="14"/>
    <m/>
  </r>
  <r>
    <x v="15"/>
    <m/>
  </r>
  <r>
    <x v="4"/>
    <m/>
  </r>
  <r>
    <x v="3"/>
    <m/>
  </r>
  <r>
    <x v="15"/>
    <m/>
  </r>
  <r>
    <x v="12"/>
    <m/>
  </r>
  <r>
    <x v="12"/>
    <m/>
  </r>
  <r>
    <x v="12"/>
    <m/>
  </r>
  <r>
    <x v="2"/>
    <m/>
  </r>
  <r>
    <x v="3"/>
    <m/>
  </r>
  <r>
    <x v="2"/>
    <m/>
  </r>
  <r>
    <x v="3"/>
    <m/>
  </r>
  <r>
    <x v="1"/>
    <m/>
  </r>
  <r>
    <x v="4"/>
    <m/>
  </r>
  <r>
    <x v="0"/>
    <m/>
  </r>
  <r>
    <x v="12"/>
    <m/>
  </r>
  <r>
    <x v="0"/>
    <m/>
  </r>
  <r>
    <x v="3"/>
    <m/>
  </r>
  <r>
    <x v="0"/>
    <m/>
  </r>
  <r>
    <x v="0"/>
    <m/>
  </r>
  <r>
    <x v="9"/>
    <m/>
  </r>
  <r>
    <x v="11"/>
    <m/>
  </r>
  <r>
    <x v="7"/>
    <m/>
  </r>
  <r>
    <x v="16"/>
    <m/>
  </r>
  <r>
    <x v="0"/>
    <m/>
  </r>
  <r>
    <x v="8"/>
    <m/>
  </r>
  <r>
    <x v="3"/>
    <m/>
  </r>
  <r>
    <x v="3"/>
    <m/>
  </r>
  <r>
    <x v="4"/>
    <m/>
  </r>
  <r>
    <x v="11"/>
    <m/>
  </r>
  <r>
    <x v="12"/>
    <m/>
  </r>
  <r>
    <x v="8"/>
    <m/>
  </r>
  <r>
    <x v="12"/>
    <m/>
  </r>
  <r>
    <x v="11"/>
    <m/>
  </r>
  <r>
    <x v="12"/>
    <m/>
  </r>
  <r>
    <x v="12"/>
    <m/>
  </r>
  <r>
    <x v="3"/>
    <m/>
  </r>
  <r>
    <x v="0"/>
    <m/>
  </r>
  <r>
    <x v="3"/>
    <m/>
  </r>
  <r>
    <x v="4"/>
    <m/>
  </r>
  <r>
    <x v="7"/>
    <m/>
  </r>
  <r>
    <x v="12"/>
    <m/>
  </r>
  <r>
    <x v="12"/>
    <m/>
  </r>
  <r>
    <x v="12"/>
    <m/>
  </r>
  <r>
    <x v="11"/>
    <m/>
  </r>
  <r>
    <x v="11"/>
    <m/>
  </r>
  <r>
    <x v="11"/>
    <m/>
  </r>
  <r>
    <x v="0"/>
    <m/>
  </r>
  <r>
    <x v="4"/>
    <m/>
  </r>
  <r>
    <x v="3"/>
    <m/>
  </r>
  <r>
    <x v="7"/>
    <m/>
  </r>
  <r>
    <x v="3"/>
    <m/>
  </r>
  <r>
    <x v="2"/>
    <m/>
  </r>
  <r>
    <x v="3"/>
    <m/>
  </r>
  <r>
    <x v="2"/>
    <m/>
  </r>
  <r>
    <x v="3"/>
    <m/>
  </r>
  <r>
    <x v="7"/>
    <m/>
  </r>
  <r>
    <x v="2"/>
    <m/>
  </r>
  <r>
    <x v="12"/>
    <m/>
  </r>
  <r>
    <x v="12"/>
    <m/>
  </r>
  <r>
    <x v="7"/>
    <m/>
  </r>
  <r>
    <x v="13"/>
    <m/>
  </r>
  <r>
    <x v="12"/>
    <m/>
  </r>
  <r>
    <x v="0"/>
    <m/>
  </r>
  <r>
    <x v="14"/>
    <m/>
  </r>
  <r>
    <x v="9"/>
    <m/>
  </r>
  <r>
    <x v="2"/>
    <m/>
  </r>
  <r>
    <x v="0"/>
    <m/>
  </r>
  <r>
    <x v="12"/>
    <m/>
  </r>
  <r>
    <x v="13"/>
    <m/>
  </r>
  <r>
    <x v="2"/>
    <m/>
  </r>
  <r>
    <x v="0"/>
    <m/>
  </r>
  <r>
    <x v="12"/>
    <m/>
  </r>
  <r>
    <x v="0"/>
    <m/>
  </r>
  <r>
    <x v="7"/>
    <m/>
  </r>
  <r>
    <x v="13"/>
    <m/>
  </r>
  <r>
    <x v="4"/>
    <m/>
  </r>
  <r>
    <x v="7"/>
    <m/>
  </r>
  <r>
    <x v="9"/>
    <m/>
  </r>
  <r>
    <x v="0"/>
    <m/>
  </r>
  <r>
    <x v="1"/>
    <m/>
  </r>
  <r>
    <x v="7"/>
    <m/>
  </r>
  <r>
    <x v="0"/>
    <m/>
  </r>
  <r>
    <x v="11"/>
    <m/>
  </r>
  <r>
    <x v="12"/>
    <m/>
  </r>
  <r>
    <x v="4"/>
    <m/>
  </r>
  <r>
    <x v="12"/>
    <m/>
  </r>
  <r>
    <x v="7"/>
    <m/>
  </r>
  <r>
    <x v="7"/>
    <m/>
  </r>
  <r>
    <x v="0"/>
    <m/>
  </r>
  <r>
    <x v="4"/>
    <m/>
  </r>
  <r>
    <x v="3"/>
    <m/>
  </r>
  <r>
    <x v="3"/>
    <m/>
  </r>
  <r>
    <x v="7"/>
    <m/>
  </r>
  <r>
    <x v="7"/>
    <m/>
  </r>
  <r>
    <x v="7"/>
    <m/>
  </r>
  <r>
    <x v="2"/>
    <m/>
  </r>
  <r>
    <x v="17"/>
    <m/>
  </r>
  <r>
    <x v="12"/>
    <m/>
  </r>
  <r>
    <x v="8"/>
    <m/>
  </r>
  <r>
    <x v="4"/>
    <m/>
  </r>
  <r>
    <x v="11"/>
    <m/>
  </r>
  <r>
    <x v="12"/>
    <m/>
  </r>
  <r>
    <x v="4"/>
    <m/>
  </r>
  <r>
    <x v="11"/>
    <m/>
  </r>
  <r>
    <x v="4"/>
    <m/>
  </r>
  <r>
    <x v="11"/>
    <m/>
  </r>
  <r>
    <x v="8"/>
    <m/>
  </r>
  <r>
    <x v="3"/>
    <m/>
  </r>
  <r>
    <x v="15"/>
    <m/>
  </r>
  <r>
    <x v="11"/>
    <m/>
  </r>
  <r>
    <x v="3"/>
    <m/>
  </r>
  <r>
    <x v="2"/>
    <m/>
  </r>
  <r>
    <x v="11"/>
    <m/>
  </r>
  <r>
    <x v="14"/>
    <m/>
  </r>
  <r>
    <x v="0"/>
    <m/>
  </r>
  <r>
    <x v="11"/>
    <m/>
  </r>
  <r>
    <x v="12"/>
    <m/>
  </r>
  <r>
    <x v="7"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</r>
  <r>
    <x v="1"/>
  </r>
  <r>
    <x v="2"/>
  </r>
  <r>
    <x v="3"/>
  </r>
  <r>
    <x v="4"/>
  </r>
  <r>
    <x v="5"/>
  </r>
  <r>
    <x v="6"/>
  </r>
  <r>
    <x v="6"/>
  </r>
  <r>
    <x v="5"/>
  </r>
  <r>
    <x v="7"/>
  </r>
  <r>
    <x v="8"/>
  </r>
  <r>
    <x v="4"/>
  </r>
  <r>
    <x v="2"/>
  </r>
  <r>
    <x v="7"/>
  </r>
  <r>
    <x v="2"/>
  </r>
  <r>
    <x v="2"/>
  </r>
  <r>
    <x v="3"/>
  </r>
  <r>
    <x v="9"/>
  </r>
  <r>
    <x v="5"/>
  </r>
  <r>
    <x v="6"/>
  </r>
  <r>
    <x v="2"/>
  </r>
  <r>
    <x v="10"/>
  </r>
  <r>
    <x v="2"/>
  </r>
  <r>
    <x v="11"/>
  </r>
  <r>
    <x v="12"/>
  </r>
  <r>
    <x v="9"/>
  </r>
  <r>
    <x v="7"/>
  </r>
  <r>
    <x v="2"/>
  </r>
  <r>
    <x v="6"/>
  </r>
  <r>
    <x v="13"/>
  </r>
  <r>
    <x v="11"/>
  </r>
  <r>
    <x v="9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2"/>
  </r>
  <r>
    <x v="1"/>
  </r>
  <r>
    <x v="2"/>
  </r>
  <r>
    <x v="0"/>
  </r>
  <r>
    <x v="3"/>
  </r>
  <r>
    <x v="3"/>
  </r>
  <r>
    <x v="0"/>
  </r>
  <r>
    <x v="1"/>
  </r>
  <r>
    <x v="2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x v="0"/>
    <n v="840000"/>
    <n v="28"/>
  </r>
  <r>
    <x v="1"/>
    <n v="240500"/>
    <n v="13"/>
  </r>
  <r>
    <x v="2"/>
    <n v="175000"/>
    <n v="5"/>
  </r>
  <r>
    <x v="3"/>
    <n v="140000"/>
    <n v="7"/>
  </r>
  <r>
    <x v="4"/>
    <n v="135000"/>
    <n v="3"/>
  </r>
  <r>
    <x v="5"/>
    <n v="125000"/>
    <n v="5"/>
  </r>
  <r>
    <x v="6"/>
    <n v="125000"/>
    <n v="5"/>
  </r>
  <r>
    <x v="7"/>
    <n v="120000"/>
    <n v="6"/>
  </r>
  <r>
    <x v="8"/>
    <n v="112500"/>
    <n v="5"/>
  </r>
  <r>
    <x v="9"/>
    <n v="112500"/>
    <n v="5"/>
  </r>
  <r>
    <x v="10"/>
    <n v="105000"/>
    <n v="3"/>
  </r>
  <r>
    <x v="11"/>
    <n v="100000"/>
    <n v="4"/>
  </r>
  <r>
    <x v="12"/>
    <n v="100000"/>
    <n v="4"/>
  </r>
  <r>
    <x v="13"/>
    <n v="92500"/>
    <m/>
  </r>
  <r>
    <x v="14"/>
    <n v="92500"/>
    <m/>
  </r>
  <r>
    <x v="15"/>
    <n v="90000"/>
    <m/>
  </r>
  <r>
    <x v="16"/>
    <n v="90000"/>
    <m/>
  </r>
  <r>
    <x v="17"/>
    <n v="82500"/>
    <m/>
  </r>
  <r>
    <x v="18"/>
    <n v="80000"/>
    <m/>
  </r>
  <r>
    <x v="19"/>
    <n v="74000"/>
    <m/>
  </r>
  <r>
    <x v="20"/>
    <n v="67500"/>
    <m/>
  </r>
  <r>
    <x v="21"/>
    <n v="67500"/>
    <m/>
  </r>
  <r>
    <x v="22"/>
    <n v="66000"/>
    <m/>
  </r>
  <r>
    <x v="23"/>
    <n v="65000"/>
    <m/>
  </r>
  <r>
    <x v="24"/>
    <n v="62000"/>
    <m/>
  </r>
  <r>
    <x v="25"/>
    <n v="60000"/>
    <m/>
  </r>
  <r>
    <x v="26"/>
    <n v="60000"/>
    <m/>
  </r>
  <r>
    <x v="27"/>
    <n v="60000"/>
    <m/>
  </r>
  <r>
    <x v="28"/>
    <n v="60000"/>
    <m/>
  </r>
  <r>
    <x v="29"/>
    <n v="60000"/>
    <m/>
  </r>
  <r>
    <x v="30"/>
    <n v="60000"/>
    <m/>
  </r>
  <r>
    <x v="31"/>
    <n v="60000"/>
    <m/>
  </r>
  <r>
    <x v="32"/>
    <n v="60000"/>
    <m/>
  </r>
  <r>
    <x v="33"/>
    <n v="58500"/>
    <m/>
  </r>
  <r>
    <x v="34"/>
    <n v="58000"/>
    <m/>
  </r>
  <r>
    <x v="35"/>
    <n v="56000"/>
    <m/>
  </r>
  <r>
    <x v="36"/>
    <n v="55500"/>
    <m/>
  </r>
  <r>
    <x v="37"/>
    <n v="55500"/>
    <m/>
  </r>
  <r>
    <x v="38"/>
    <n v="55000"/>
    <m/>
  </r>
  <r>
    <x v="39"/>
    <n v="54000"/>
    <m/>
  </r>
  <r>
    <x v="40"/>
    <n v="52500"/>
    <m/>
  </r>
  <r>
    <x v="41"/>
    <n v="52000"/>
    <m/>
  </r>
  <r>
    <x v="42"/>
    <n v="50000"/>
    <m/>
  </r>
  <r>
    <x v="43"/>
    <n v="50000"/>
    <m/>
  </r>
  <r>
    <x v="44"/>
    <n v="50000"/>
    <m/>
  </r>
  <r>
    <x v="45"/>
    <n v="50000"/>
    <m/>
  </r>
  <r>
    <x v="46"/>
    <n v="47000"/>
    <m/>
  </r>
  <r>
    <x v="47"/>
    <n v="45000"/>
    <m/>
  </r>
  <r>
    <x v="48"/>
    <n v="42000"/>
    <m/>
  </r>
  <r>
    <x v="49"/>
    <n v="40000"/>
    <m/>
  </r>
  <r>
    <x v="50"/>
    <n v="40000"/>
    <m/>
  </r>
  <r>
    <x v="51"/>
    <n v="40000"/>
    <m/>
  </r>
  <r>
    <x v="52"/>
    <n v="40000"/>
    <m/>
  </r>
  <r>
    <x v="53"/>
    <n v="40000"/>
    <m/>
  </r>
  <r>
    <x v="54"/>
    <n v="40000"/>
    <m/>
  </r>
  <r>
    <x v="55"/>
    <n v="40000"/>
    <m/>
  </r>
  <r>
    <x v="56"/>
    <n v="40000"/>
    <m/>
  </r>
  <r>
    <x v="57"/>
    <n v="39000"/>
    <m/>
  </r>
  <r>
    <x v="58"/>
    <n v="38000"/>
    <m/>
  </r>
  <r>
    <x v="59"/>
    <n v="37500"/>
    <m/>
  </r>
  <r>
    <x v="60"/>
    <n v="37000"/>
    <m/>
  </r>
  <r>
    <x v="61"/>
    <n v="37000"/>
    <m/>
  </r>
  <r>
    <x v="62"/>
    <n v="36000"/>
    <m/>
  </r>
  <r>
    <x v="63"/>
    <n v="36000"/>
    <m/>
  </r>
  <r>
    <x v="64"/>
    <n v="36000"/>
    <m/>
  </r>
  <r>
    <x v="65"/>
    <n v="36000"/>
    <m/>
  </r>
  <r>
    <x v="66"/>
    <n v="35000"/>
    <m/>
  </r>
  <r>
    <x v="67"/>
    <n v="35000"/>
    <m/>
  </r>
  <r>
    <x v="68"/>
    <n v="31000"/>
    <m/>
  </r>
  <r>
    <x v="69"/>
    <n v="30000"/>
    <m/>
  </r>
  <r>
    <x v="70"/>
    <n v="30000"/>
    <m/>
  </r>
  <r>
    <x v="71"/>
    <n v="30000"/>
    <m/>
  </r>
  <r>
    <x v="72"/>
    <n v="30000"/>
    <m/>
  </r>
  <r>
    <x v="73"/>
    <n v="30000"/>
    <m/>
  </r>
  <r>
    <x v="74"/>
    <n v="28000"/>
    <m/>
  </r>
  <r>
    <x v="75"/>
    <n v="27000"/>
    <m/>
  </r>
  <r>
    <x v="76"/>
    <n v="26000"/>
    <m/>
  </r>
  <r>
    <x v="77"/>
    <n v="25000"/>
    <m/>
  </r>
  <r>
    <x v="78"/>
    <n v="25000"/>
    <m/>
  </r>
  <r>
    <x v="79"/>
    <n v="25000"/>
    <m/>
  </r>
  <r>
    <x v="80"/>
    <n v="25000"/>
    <m/>
  </r>
  <r>
    <x v="81"/>
    <n v="25000"/>
    <m/>
  </r>
  <r>
    <x v="82"/>
    <n v="23000"/>
    <m/>
  </r>
  <r>
    <x v="83"/>
    <n v="22500"/>
    <m/>
  </r>
  <r>
    <x v="84"/>
    <n v="22500"/>
    <m/>
  </r>
  <r>
    <x v="85"/>
    <n v="22500"/>
    <m/>
  </r>
  <r>
    <x v="86"/>
    <n v="22500"/>
    <m/>
  </r>
  <r>
    <x v="87"/>
    <n v="22500"/>
    <m/>
  </r>
  <r>
    <x v="88"/>
    <n v="20000"/>
    <m/>
  </r>
  <r>
    <x v="89"/>
    <n v="20000"/>
    <m/>
  </r>
  <r>
    <x v="90"/>
    <n v="20000"/>
    <m/>
  </r>
  <r>
    <x v="91"/>
    <n v="20000"/>
    <m/>
  </r>
  <r>
    <x v="92"/>
    <n v="18500"/>
    <m/>
  </r>
  <r>
    <x v="93"/>
    <n v="18500"/>
    <m/>
  </r>
  <r>
    <x v="94"/>
    <n v="18500"/>
    <m/>
  </r>
  <r>
    <x v="95"/>
    <n v="17500"/>
    <m/>
  </r>
  <r>
    <x v="96"/>
    <n v="15500"/>
    <m/>
  </r>
  <r>
    <x v="97"/>
    <n v="15500"/>
    <m/>
  </r>
  <r>
    <x v="98"/>
    <n v="15500"/>
    <m/>
  </r>
  <r>
    <x v="99"/>
    <n v="15500"/>
    <m/>
  </r>
  <r>
    <x v="100"/>
    <n v="15500"/>
    <m/>
  </r>
  <r>
    <x v="101"/>
    <n v="15500"/>
    <m/>
  </r>
  <r>
    <x v="102"/>
    <n v="13000"/>
    <m/>
  </r>
  <r>
    <x v="103"/>
    <n v="13000"/>
    <m/>
  </r>
  <r>
    <x v="104"/>
    <n v="12000"/>
    <m/>
  </r>
  <r>
    <x v="105"/>
    <n v="11500"/>
    <m/>
  </r>
  <r>
    <x v="106"/>
    <n v="10500"/>
    <m/>
  </r>
  <r>
    <x v="107"/>
    <n v="9500"/>
    <m/>
  </r>
  <r>
    <x v="108"/>
    <n v="7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3471D-9722-4507-9CAA-346C78F5C54D}" name="PivotTable29" cacheId="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">
  <location ref="M1:N8" firstHeaderRow="1" firstDataRow="1" firstDataCol="1"/>
  <pivotFields count="2">
    <pivotField axis="axisRow" showAll="0" measureFilter="1" sortType="descending">
      <items count="16">
        <item x="14"/>
        <item x="9"/>
        <item x="6"/>
        <item x="7"/>
        <item x="8"/>
        <item x="10"/>
        <item x="3"/>
        <item x="13"/>
        <item x="0"/>
        <item x="2"/>
        <item x="11"/>
        <item x="12"/>
        <item x="4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</pivotFields>
  <rowFields count="1">
    <field x="0"/>
  </rowFields>
  <rowItems count="7">
    <i>
      <x v="8"/>
    </i>
    <i>
      <x v="13"/>
    </i>
    <i>
      <x v="9"/>
    </i>
    <i>
      <x v="6"/>
    </i>
    <i>
      <x v="12"/>
    </i>
    <i>
      <x v="14"/>
    </i>
    <i>
      <x v="2"/>
    </i>
  </rowItems>
  <colItems count="1">
    <i/>
  </colItems>
  <dataFields count="1">
    <dataField name="Sum of Price" fld="1" baseField="0" baseItem="0" numFmtId="165"/>
  </dataFields>
  <formats count="3">
    <format dxfId="46">
      <pivotArea field="0" type="button" dataOnly="0" labelOnly="1" outline="0" axis="axisRow" fieldPosition="0"/>
    </format>
    <format dxfId="45">
      <pivotArea dataOnly="0" labelOnly="1" outline="0" axis="axisValues" fieldPosition="0"/>
    </format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D24B5-5D6A-4E85-B8B8-45C1F4F1C740}" name="PivotTable13" cacheId="5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" rowHeaderCaption="Product Name">
  <location ref="F4:G20" firstHeaderRow="1" firstDataRow="1" firstDataCol="1"/>
  <pivotFields count="2">
    <pivotField axis="axisRow" showAll="0" measureFilter="1" sortType="ascending">
      <items count="116">
        <item x="48"/>
        <item x="47"/>
        <item x="46"/>
        <item x="84"/>
        <item x="8"/>
        <item x="20"/>
        <item x="45"/>
        <item x="85"/>
        <item x="86"/>
        <item x="34"/>
        <item x="33"/>
        <item x="87"/>
        <item x="21"/>
        <item x="7"/>
        <item x="51"/>
        <item x="83"/>
        <item x="49"/>
        <item x="19"/>
        <item x="50"/>
        <item x="31"/>
        <item x="32"/>
        <item x="14"/>
        <item x="15"/>
        <item x="73"/>
        <item x="52"/>
        <item x="35"/>
        <item x="64"/>
        <item x="91"/>
        <item x="80"/>
        <item x="13"/>
        <item x="65"/>
        <item x="90"/>
        <item x="103"/>
        <item x="55"/>
        <item x="56"/>
        <item x="94"/>
        <item x="39"/>
        <item x="76"/>
        <item x="17"/>
        <item x="5"/>
        <item x="40"/>
        <item x="38"/>
        <item x="28"/>
        <item x="63"/>
        <item x="98"/>
        <item x="99"/>
        <item x="81"/>
        <item x="27"/>
        <item x="112"/>
        <item x="25"/>
        <item x="2"/>
        <item x="70"/>
        <item x="1"/>
        <item x="4"/>
        <item x="66"/>
        <item x="95"/>
        <item x="12"/>
        <item x="68"/>
        <item x="41"/>
        <item x="67"/>
        <item x="100"/>
        <item x="101"/>
        <item x="102"/>
        <item x="69"/>
        <item x="58"/>
        <item x="24"/>
        <item x="106"/>
        <item x="88"/>
        <item x="77"/>
        <item x="0"/>
        <item x="97"/>
        <item x="82"/>
        <item x="6"/>
        <item x="105"/>
        <item x="114"/>
        <item x="62"/>
        <item x="9"/>
        <item x="74"/>
        <item x="3"/>
        <item x="53"/>
        <item x="75"/>
        <item x="43"/>
        <item x="96"/>
        <item x="71"/>
        <item x="107"/>
        <item x="72"/>
        <item x="23"/>
        <item x="44"/>
        <item x="16"/>
        <item x="93"/>
        <item x="22"/>
        <item x="92"/>
        <item x="18"/>
        <item x="30"/>
        <item x="42"/>
        <item x="29"/>
        <item x="78"/>
        <item x="79"/>
        <item x="37"/>
        <item x="26"/>
        <item x="59"/>
        <item x="57"/>
        <item x="113"/>
        <item x="111"/>
        <item x="109"/>
        <item x="110"/>
        <item x="108"/>
        <item x="11"/>
        <item x="60"/>
        <item x="36"/>
        <item x="104"/>
        <item x="10"/>
        <item x="61"/>
        <item x="54"/>
        <item x="8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6">
    <i>
      <x v="111"/>
    </i>
    <i>
      <x v="107"/>
    </i>
    <i>
      <x v="4"/>
    </i>
    <i>
      <x v="21"/>
    </i>
    <i>
      <x v="22"/>
    </i>
    <i>
      <x v="76"/>
    </i>
    <i>
      <x v="29"/>
    </i>
    <i>
      <x v="13"/>
    </i>
    <i>
      <x v="56"/>
    </i>
    <i>
      <x v="72"/>
    </i>
    <i>
      <x v="39"/>
    </i>
    <i>
      <x v="53"/>
    </i>
    <i>
      <x v="78"/>
    </i>
    <i>
      <x v="50"/>
    </i>
    <i>
      <x v="52"/>
    </i>
    <i>
      <x v="69"/>
    </i>
  </rowItems>
  <colItems count="1">
    <i/>
  </colItems>
  <dataFields count="1">
    <dataField name="Sum of Quantity Sold" fld="1" baseField="0" baseItem="69"/>
  </dataFields>
  <formats count="2">
    <format dxfId="9">
      <pivotArea field="0" type="button" dataOnly="0" labelOnly="1" outline="0" axis="axisRow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7AEEF-3AD9-4235-9D38-25E4C9E296D6}" name="PivotTable28" cacheId="9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">
  <location ref="AC6:AE19" firstHeaderRow="0" firstDataRow="1" firstDataCol="1"/>
  <pivotFields count="3">
    <pivotField axis="axisRow" showAll="0" measureFilter="1" sortType="descending">
      <items count="110">
        <item x="44"/>
        <item x="49"/>
        <item x="43"/>
        <item x="89"/>
        <item x="5"/>
        <item x="18"/>
        <item x="42"/>
        <item x="95"/>
        <item x="33"/>
        <item x="63"/>
        <item x="11"/>
        <item x="2"/>
        <item x="62"/>
        <item x="78"/>
        <item x="26"/>
        <item x="34"/>
        <item x="50"/>
        <item x="10"/>
        <item x="4"/>
        <item x="23"/>
        <item x="6"/>
        <item x="56"/>
        <item x="38"/>
        <item x="17"/>
        <item x="74"/>
        <item x="90"/>
        <item x="14"/>
        <item x="54"/>
        <item x="84"/>
        <item x="108"/>
        <item x="28"/>
        <item x="29"/>
        <item x="106"/>
        <item x="22"/>
        <item x="107"/>
        <item x="58"/>
        <item x="7"/>
        <item x="37"/>
        <item x="36"/>
        <item x="19"/>
        <item x="45"/>
        <item x="92"/>
        <item x="93"/>
        <item x="105"/>
        <item x="12"/>
        <item x="65"/>
        <item x="20"/>
        <item x="75"/>
        <item x="1"/>
        <item x="3"/>
        <item x="60"/>
        <item x="72"/>
        <item x="13"/>
        <item x="76"/>
        <item x="57"/>
        <item x="61"/>
        <item x="94"/>
        <item x="102"/>
        <item x="96"/>
        <item x="55"/>
        <item x="79"/>
        <item x="64"/>
        <item x="103"/>
        <item x="83"/>
        <item x="0"/>
        <item x="80"/>
        <item x="104"/>
        <item x="40"/>
        <item x="87"/>
        <item x="81"/>
        <item x="53"/>
        <item x="8"/>
        <item x="77"/>
        <item x="35"/>
        <item x="46"/>
        <item x="88"/>
        <item x="25"/>
        <item x="67"/>
        <item x="41"/>
        <item x="97"/>
        <item x="68"/>
        <item x="15"/>
        <item x="70"/>
        <item x="24"/>
        <item x="91"/>
        <item x="30"/>
        <item x="85"/>
        <item x="48"/>
        <item x="59"/>
        <item x="21"/>
        <item x="39"/>
        <item x="66"/>
        <item x="69"/>
        <item x="16"/>
        <item x="52"/>
        <item x="47"/>
        <item x="73"/>
        <item x="101"/>
        <item x="99"/>
        <item x="100"/>
        <item x="98"/>
        <item x="71"/>
        <item x="51"/>
        <item x="31"/>
        <item x="86"/>
        <item x="9"/>
        <item x="32"/>
        <item x="27"/>
        <item x="8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165" showAll="0"/>
    <pivotField dataField="1" showAll="0"/>
  </pivotFields>
  <rowFields count="1">
    <field x="0"/>
  </rowFields>
  <rowItems count="13">
    <i>
      <x v="64"/>
    </i>
    <i>
      <x v="48"/>
    </i>
    <i>
      <x v="11"/>
    </i>
    <i>
      <x v="49"/>
    </i>
    <i>
      <x v="18"/>
    </i>
    <i>
      <x v="4"/>
    </i>
    <i>
      <x v="20"/>
    </i>
    <i>
      <x v="36"/>
    </i>
    <i>
      <x v="71"/>
    </i>
    <i>
      <x v="105"/>
    </i>
    <i>
      <x v="17"/>
    </i>
    <i>
      <x v="10"/>
    </i>
    <i>
      <x v="44"/>
    </i>
  </rowItems>
  <colFields count="1">
    <field x="-2"/>
  </colFields>
  <colItems count="2">
    <i>
      <x/>
    </i>
    <i i="1">
      <x v="1"/>
    </i>
  </colItems>
  <dataFields count="2">
    <dataField name="Sum of Quantity Sold" fld="2" baseField="0" baseItem="0"/>
    <dataField name="Sum of Price" fld="1" baseField="0" baseItem="0"/>
  </dataFields>
  <formats count="1">
    <format dxfId="10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2" filterVal="1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918DA-D3AA-4E3D-B79F-A093A2F3E02E}" name="PivotTable5" cacheId="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Product Name">
  <location ref="F28:G35" firstHeaderRow="1" firstDataRow="1" firstDataCol="1"/>
  <pivotFields count="2">
    <pivotField axis="axisRow" showAll="0" measureFilter="1" sortType="descending">
      <items count="16">
        <item x="5"/>
        <item x="8"/>
        <item x="0"/>
        <item x="6"/>
        <item x="1"/>
        <item x="11"/>
        <item x="14"/>
        <item x="4"/>
        <item x="12"/>
        <item x="10"/>
        <item x="2"/>
        <item x="3"/>
        <item x="7"/>
        <item x="1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7">
    <i>
      <x v="8"/>
    </i>
    <i>
      <x v="13"/>
    </i>
    <i>
      <x v="9"/>
    </i>
    <i>
      <x v="14"/>
    </i>
    <i>
      <x v="6"/>
    </i>
    <i>
      <x v="2"/>
    </i>
    <i>
      <x v="12"/>
    </i>
  </rowItems>
  <colItems count="1">
    <i/>
  </colItems>
  <dataFields count="1">
    <dataField name="Sum of Quantity Sold" fld="1" baseField="0" baseItem="0"/>
  </dataFields>
  <formats count="2">
    <format dxfId="12">
      <pivotArea field="0" type="button" dataOnly="0" labelOnly="1" outline="0" axis="axisRow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A72271-90DE-4FE7-A978-D8DC5D1C7C6E}" name="PivotTable2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0" rowHeaderCaption="Colours">
  <location ref="A4:B12" firstHeaderRow="1" firstDataRow="1" firstDataCol="1"/>
  <pivotFields count="2">
    <pivotField axis="axisRow" showAll="0" measureFilter="1" sortType="ascending">
      <items count="39">
        <item x="35"/>
        <item x="21"/>
        <item x="22"/>
        <item x="8"/>
        <item x="17"/>
        <item x="6"/>
        <item x="1"/>
        <item x="29"/>
        <item x="16"/>
        <item x="28"/>
        <item x="34"/>
        <item x="37"/>
        <item x="15"/>
        <item x="18"/>
        <item x="25"/>
        <item x="32"/>
        <item x="19"/>
        <item x="33"/>
        <item x="10"/>
        <item x="4"/>
        <item x="11"/>
        <item x="24"/>
        <item x="26"/>
        <item x="14"/>
        <item x="7"/>
        <item x="23"/>
        <item x="30"/>
        <item x="13"/>
        <item x="2"/>
        <item x="12"/>
        <item x="20"/>
        <item x="27"/>
        <item x="5"/>
        <item x="36"/>
        <item x="31"/>
        <item x="9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8">
    <i>
      <x v="18"/>
    </i>
    <i>
      <x v="27"/>
    </i>
    <i>
      <x v="37"/>
    </i>
    <i>
      <x v="35"/>
    </i>
    <i>
      <x v="5"/>
    </i>
    <i>
      <x v="12"/>
    </i>
    <i>
      <x v="28"/>
    </i>
    <i>
      <x v="4"/>
    </i>
  </rowItems>
  <colItems count="1">
    <i/>
  </colItems>
  <dataFields count="1">
    <dataField name="Sum of Quantity Sold" fld="1" baseField="0" baseItem="0"/>
  </dataFields>
  <formats count="6">
    <format dxfId="18">
      <pivotArea field="0" type="button" dataOnly="0" labelOnly="1" outline="0" axis="axisRow" fieldPosition="0"/>
    </format>
    <format dxfId="17">
      <pivotArea dataOnly="0" labelOnly="1" outline="0" axis="axisValues" fieldPosition="0"/>
    </format>
    <format dxfId="16">
      <pivotArea field="0" type="button" dataOnly="0" labelOnly="1" outline="0" axis="axisRow" fieldPosition="0"/>
    </format>
    <format dxfId="15">
      <pivotArea dataOnly="0" labelOnly="1" outline="0" axis="axisValues" fieldPosition="0"/>
    </format>
    <format dxfId="14">
      <pivotArea field="0" type="button" dataOnly="0" labelOnly="1" outline="0" axis="axisRow" fieldPosition="0"/>
    </format>
    <format dxfId="13">
      <pivotArea dataOnly="0" labelOnly="1" outline="0" axis="axisValues" fieldPosition="0"/>
    </format>
  </formats>
  <chartFormats count="18">
    <chartFormat chart="7" format="4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7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7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7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7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7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7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66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8" format="67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8" format="6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69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8" format="70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8" format="7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8" format="72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19A85-52DC-44AB-8D59-21D330616A00}" name="PivotTable15" cacheId="7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7" rowHeaderCaption="Shoe(Size)">
  <location ref="S4:T12" firstHeaderRow="1" firstDataRow="1" firstDataCol="1"/>
  <pivotFields count="1">
    <pivotField axis="axisRow" dataField="1" showAll="0" measureFilter="1" sortType="descending">
      <items count="15">
        <item x="10"/>
        <item x="1"/>
        <item x="7"/>
        <item x="3"/>
        <item x="0"/>
        <item x="4"/>
        <item x="2"/>
        <item x="5"/>
        <item x="6"/>
        <item x="13"/>
        <item x="11"/>
        <item x="12"/>
        <item x="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8">
    <i>
      <x v="6"/>
    </i>
    <i>
      <x v="8"/>
    </i>
    <i>
      <x v="12"/>
    </i>
    <i>
      <x v="2"/>
    </i>
    <i>
      <x v="7"/>
    </i>
    <i>
      <x v="5"/>
    </i>
    <i>
      <x v="3"/>
    </i>
    <i>
      <x v="10"/>
    </i>
  </rowItems>
  <colItems count="1">
    <i/>
  </colItems>
  <dataFields count="1">
    <dataField name="Count of Shoe(Size)" fld="0" subtotal="count" baseField="0" baseItem="0"/>
  </dataFields>
  <formats count="2">
    <format dxfId="20">
      <pivotArea field="0" type="button" dataOnly="0" labelOnly="1" outline="0" axis="axisRow" fieldPosition="0"/>
    </format>
    <format dxfId="19">
      <pivotArea dataOnly="0" labelOnly="1" outline="0" axis="axisValues" fieldPosition="0"/>
    </format>
  </formats>
  <chartFormats count="1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4CC47-80F4-4EAA-968C-5A01627EFD49}" name="PivotTable3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5" rowHeaderCaption="Colours">
  <location ref="A18:B23" firstHeaderRow="1" firstDataRow="1" firstDataCol="1"/>
  <pivotFields count="2">
    <pivotField axis="axisRow" showAll="0" measureFilter="1" sortType="ascending">
      <items count="12">
        <item x="0"/>
        <item x="4"/>
        <item x="5"/>
        <item x="3"/>
        <item x="2"/>
        <item x="6"/>
        <item x="7"/>
        <item x="10"/>
        <item x="1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5">
    <i>
      <x v="8"/>
    </i>
    <i>
      <x v="9"/>
    </i>
    <i>
      <x v="5"/>
    </i>
    <i>
      <x/>
    </i>
    <i>
      <x v="10"/>
    </i>
  </rowItems>
  <colItems count="1">
    <i/>
  </colItems>
  <dataFields count="1">
    <dataField name="Sum of Quantity Sold" fld="1" baseField="0" baseItem="0"/>
  </dataFields>
  <formats count="2">
    <format dxfId="22">
      <pivotArea field="0" type="button" dataOnly="0" labelOnly="1" outline="0" axis="axisRow" fieldPosition="0"/>
    </format>
    <format dxfId="21">
      <pivotArea dataOnly="0" labelOnly="1" outline="0" axis="axisValues" fieldPosition="0"/>
    </format>
  </formats>
  <chartFormats count="6"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7E1B6-BF30-4413-81BF-16339C1F1E7A}" name="PivotTable7" cacheId="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Product Name">
  <location ref="J28:K35" firstHeaderRow="1" firstDataRow="1" firstDataCol="1"/>
  <pivotFields count="2">
    <pivotField axis="axisRow" showAll="0" measureFilter="1" sortType="descending">
      <items count="16">
        <item x="14"/>
        <item x="9"/>
        <item x="6"/>
        <item x="7"/>
        <item x="8"/>
        <item x="10"/>
        <item x="3"/>
        <item x="13"/>
        <item x="0"/>
        <item x="2"/>
        <item x="11"/>
        <item x="12"/>
        <item x="4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</pivotFields>
  <rowFields count="1">
    <field x="0"/>
  </rowFields>
  <rowItems count="7">
    <i>
      <x v="8"/>
    </i>
    <i>
      <x v="13"/>
    </i>
    <i>
      <x v="9"/>
    </i>
    <i>
      <x v="6"/>
    </i>
    <i>
      <x v="12"/>
    </i>
    <i>
      <x v="14"/>
    </i>
    <i>
      <x v="2"/>
    </i>
  </rowItems>
  <colItems count="1">
    <i/>
  </colItems>
  <dataFields count="1">
    <dataField name="Sum of Price" fld="1" baseField="0" baseItem="0" numFmtId="165"/>
  </dataFields>
  <formats count="3">
    <format dxfId="25">
      <pivotArea field="0" type="button" dataOnly="0" labelOnly="1" outline="0" axis="axisRow" fieldPosition="0"/>
    </format>
    <format dxfId="24">
      <pivotArea dataOnly="0" labelOnly="1" outline="0" axis="axisValues" fieldPosition="0"/>
    </format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0C651-1474-4D7E-BB09-82F814D30543}" name="PivotTable14" cacheId="6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0" rowHeaderCaption="Age(Size)">
  <location ref="P4:Q11" firstHeaderRow="1" firstDataRow="1" firstDataCol="1"/>
  <pivotFields count="2">
    <pivotField axis="axisRow" dataField="1" showAll="0" measureFilter="1" sortType="descending">
      <items count="19">
        <item x="7"/>
        <item x="17"/>
        <item x="11"/>
        <item x="15"/>
        <item x="14"/>
        <item x="13"/>
        <item x="5"/>
        <item x="16"/>
        <item x="6"/>
        <item x="10"/>
        <item x="1"/>
        <item x="9"/>
        <item x="8"/>
        <item x="2"/>
        <item x="4"/>
        <item x="3"/>
        <item x="0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0"/>
  </rowFields>
  <rowItems count="7">
    <i>
      <x v="15"/>
    </i>
    <i>
      <x v="17"/>
    </i>
    <i>
      <x v="13"/>
    </i>
    <i>
      <x v="16"/>
    </i>
    <i>
      <x v="2"/>
    </i>
    <i>
      <x v="14"/>
    </i>
    <i>
      <x/>
    </i>
  </rowItems>
  <colItems count="1">
    <i/>
  </colItems>
  <dataFields count="1">
    <dataField name="Count of Age(Size)" fld="0" subtotal="count" baseField="0" baseItem="0"/>
  </dataFields>
  <formats count="2">
    <format dxfId="27">
      <pivotArea field="0" type="button" dataOnly="0" labelOnly="1" outline="0" axis="axisRow" fieldPosition="0"/>
    </format>
    <format dxfId="26">
      <pivotArea dataOnly="0" labelOnly="1" outline="0" axis="axisValues" fieldPosition="0"/>
    </format>
  </formats>
  <chartFormats count="1"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C8282-C211-4FC4-9CFB-430E4C1EBB3F}" name="PivotTable16" cacheId="8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Clothes(Size)">
  <location ref="P28:Q32" firstHeaderRow="1" firstDataRow="1" firstDataCol="1"/>
  <pivotFields count="1">
    <pivotField axis="axisRow" dataField="1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4">
    <i>
      <x/>
    </i>
    <i>
      <x v="3"/>
    </i>
    <i>
      <x v="2"/>
    </i>
    <i>
      <x v="1"/>
    </i>
  </rowItems>
  <colItems count="1">
    <i/>
  </colItems>
  <dataFields count="1">
    <dataField name="Count of Clothes(Size)" fld="0" subtotal="count" baseField="0" baseItem="0"/>
  </dataFields>
  <formats count="2">
    <format dxfId="29">
      <pivotArea field="0" type="button" dataOnly="0" labelOnly="1" outline="0" axis="axisRow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AE27B-A90E-4054-97D4-E8F8902C44CF}" name="PivotTable6" cacheId="3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Product Name">
  <location ref="J4:K14" firstHeaderRow="1" firstDataRow="1" firstDataCol="1"/>
  <pivotFields count="2">
    <pivotField axis="axisRow" showAll="0" measureFilter="1" sortType="descending">
      <items count="110">
        <item x="44"/>
        <item x="49"/>
        <item x="43"/>
        <item x="89"/>
        <item x="5"/>
        <item x="18"/>
        <item x="42"/>
        <item x="95"/>
        <item x="33"/>
        <item x="63"/>
        <item x="11"/>
        <item x="2"/>
        <item x="62"/>
        <item x="78"/>
        <item x="26"/>
        <item x="34"/>
        <item x="50"/>
        <item x="10"/>
        <item x="4"/>
        <item x="23"/>
        <item x="6"/>
        <item x="56"/>
        <item x="38"/>
        <item x="17"/>
        <item x="74"/>
        <item x="90"/>
        <item x="14"/>
        <item x="54"/>
        <item x="84"/>
        <item x="108"/>
        <item x="28"/>
        <item x="29"/>
        <item x="106"/>
        <item x="22"/>
        <item x="107"/>
        <item x="58"/>
        <item x="7"/>
        <item x="37"/>
        <item x="36"/>
        <item x="19"/>
        <item x="45"/>
        <item x="92"/>
        <item x="93"/>
        <item x="105"/>
        <item x="12"/>
        <item x="65"/>
        <item x="20"/>
        <item x="75"/>
        <item x="1"/>
        <item x="3"/>
        <item x="60"/>
        <item x="72"/>
        <item x="13"/>
        <item x="76"/>
        <item x="57"/>
        <item x="61"/>
        <item x="94"/>
        <item x="102"/>
        <item x="96"/>
        <item x="55"/>
        <item x="79"/>
        <item x="64"/>
        <item x="103"/>
        <item x="83"/>
        <item x="0"/>
        <item x="80"/>
        <item x="104"/>
        <item x="40"/>
        <item x="87"/>
        <item x="81"/>
        <item x="53"/>
        <item x="8"/>
        <item x="77"/>
        <item x="35"/>
        <item x="46"/>
        <item x="88"/>
        <item x="25"/>
        <item x="67"/>
        <item x="41"/>
        <item x="97"/>
        <item x="68"/>
        <item x="15"/>
        <item x="70"/>
        <item x="24"/>
        <item x="91"/>
        <item x="30"/>
        <item x="85"/>
        <item x="48"/>
        <item x="59"/>
        <item x="21"/>
        <item x="39"/>
        <item x="66"/>
        <item x="69"/>
        <item x="16"/>
        <item x="52"/>
        <item x="47"/>
        <item x="73"/>
        <item x="101"/>
        <item x="99"/>
        <item x="100"/>
        <item x="98"/>
        <item x="71"/>
        <item x="51"/>
        <item x="31"/>
        <item x="86"/>
        <item x="9"/>
        <item x="32"/>
        <item x="27"/>
        <item x="8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</pivotFields>
  <rowFields count="1">
    <field x="0"/>
  </rowFields>
  <rowItems count="10">
    <i>
      <x v="64"/>
    </i>
    <i>
      <x v="48"/>
    </i>
    <i>
      <x v="11"/>
    </i>
    <i>
      <x v="49"/>
    </i>
    <i>
      <x v="18"/>
    </i>
    <i>
      <x v="4"/>
    </i>
    <i>
      <x v="20"/>
    </i>
    <i>
      <x v="36"/>
    </i>
    <i>
      <x v="105"/>
    </i>
    <i>
      <x v="71"/>
    </i>
  </rowItems>
  <colItems count="1">
    <i/>
  </colItems>
  <dataFields count="1">
    <dataField name="Sum of Price" fld="1" baseField="0" baseItem="0" numFmtId="165"/>
  </dataFields>
  <formats count="3">
    <format dxfId="32">
      <pivotArea field="0" type="button" dataOnly="0" labelOnly="1" outline="0" axis="axisRow" fieldPosition="0"/>
    </format>
    <format dxfId="31">
      <pivotArea dataOnly="0" labelOnly="1" outline="0" axis="axisValues" fieldPosition="0"/>
    </format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808B3E-81D6-4861-9683-5A938CE7C817}" name="Table2" displayName="Table2" ref="A1:G212" totalsRowShown="0" headerRowDxfId="51">
  <autoFilter ref="A1:G212" xr:uid="{B2808B3E-81D6-4861-9683-5A938CE7C817}"/>
  <tableColumns count="7">
    <tableColumn id="1" xr3:uid="{F71BCBB7-CBBC-4A05-946D-318F7B2D2B40}" name="Product Name "/>
    <tableColumn id="2" xr3:uid="{34F5B057-D70E-419D-8558-5498AA2D006B}" name="(SKU)"/>
    <tableColumn id="3" xr3:uid="{7E67EE6B-F4E3-4331-98EA-3BDC8357B02D}" name="Colour"/>
    <tableColumn id="4" xr3:uid="{425B3713-DF11-440C-88DF-D5654EE36EA4}" name="Quantity Sold"/>
    <tableColumn id="5" xr3:uid="{A9BA6B40-0DF2-4D02-BB5B-A462C897E16C}" name="Size(Age&quot;Years&quot;)"/>
    <tableColumn id="6" xr3:uid="{A003E9EE-4DE3-4B41-95DB-58BB1FBBF503}" name="Unit_Price" dataDxfId="50"/>
    <tableColumn id="7" xr3:uid="{C4FFF7CB-87A5-4D19-857C-A864AA79673E}" name="Price">
      <calculatedColumnFormula>Table2[[#This Row],[Unit_Price]]*Table2[[#This Row],[Quantity Sold]]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2A6DFC-5593-4C14-8775-194E4E97BCBC}" name="Table3" displayName="Table3" ref="B1:C133" totalsRowShown="0" headerRowDxfId="49">
  <autoFilter ref="B1:C133" xr:uid="{032A6DFC-5593-4C14-8775-194E4E97BCBC}"/>
  <tableColumns count="2">
    <tableColumn id="1" xr3:uid="{D0079F5B-FF47-472D-AFB4-B897C0D98105}" name="Colour"/>
    <tableColumn id="2" xr3:uid="{A324E77B-584D-4FE6-94BE-DEEB7E0CC4E4}" name="Quantity Sold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295C87-668B-45B5-BE30-C19FBF9985A6}" name="Table7" displayName="Table7" ref="K1:L116" totalsRowShown="0" headerRowDxfId="0">
  <autoFilter ref="K1:L116" xr:uid="{E2295C87-668B-45B5-BE30-C19FBF9985A6}"/>
  <sortState xmlns:xlrd2="http://schemas.microsoft.com/office/spreadsheetml/2017/richdata2" ref="K2:L116">
    <sortCondition descending="1" ref="L3:L116"/>
  </sortState>
  <tableColumns count="2">
    <tableColumn id="1" xr3:uid="{FF925979-FB14-40FC-9360-5B0F270A3D2A}" name="Product Name "/>
    <tableColumn id="2" xr3:uid="{6FD2D812-94B6-41E4-9DCE-218640EB3B03}" name="Quantity Sold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A791FE0-9C05-4A68-8A67-0CF6A1D37DEB}" name="Table8" displayName="Table8" ref="O1:P16" totalsRowShown="0">
  <autoFilter ref="O1:P16" xr:uid="{8A791FE0-9C05-4A68-8A67-0CF6A1D37DEB}"/>
  <tableColumns count="2">
    <tableColumn id="1" xr3:uid="{F22B3E1F-ED48-4381-B4E2-8406C11C3C1A}" name="Product Name "/>
    <tableColumn id="2" xr3:uid="{34AACCAF-7BF5-4F5A-9CF6-2B3EA6DE0EF2}" name="Quantity Sold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890463-3DFD-49E1-AF8F-D9C37A2E7744}" name="Table9" displayName="Table9" ref="F1:G19" totalsRowShown="0" headerRowDxfId="1">
  <autoFilter ref="F1:G19" xr:uid="{A6890463-3DFD-49E1-AF8F-D9C37A2E7744}"/>
  <tableColumns count="2">
    <tableColumn id="1" xr3:uid="{46954978-8DED-4799-8C30-8DE72E75ED7C}" name="Colour"/>
    <tableColumn id="2" xr3:uid="{BA7FD06A-31A7-4497-A818-0DFA481A00C2}" name="Quantity Sold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9AE737-C128-477F-8FB8-2859331C9AD6}" name="Table12" displayName="Table12" ref="S1:T110" totalsRowShown="0">
  <autoFilter ref="S1:T110" xr:uid="{449AE737-C128-477F-8FB8-2859331C9AD6}"/>
  <sortState xmlns:xlrd2="http://schemas.microsoft.com/office/spreadsheetml/2017/richdata2" ref="S2:T110">
    <sortCondition descending="1" ref="T4:T110"/>
  </sortState>
  <tableColumns count="2">
    <tableColumn id="1" xr3:uid="{4735D986-194D-4019-AA88-012A6BDCBE2D}" name="Product Name "/>
    <tableColumn id="2" xr3:uid="{58F8CA5A-7C68-455C-8D04-1786161EB763}" name="Price" dataDxfId="48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09CD882-E375-4958-B782-301195AF1651}" name="Table13" displayName="Table13" ref="W1:X16" totalsRowShown="0">
  <autoFilter ref="W1:X16" xr:uid="{F09CD882-E375-4958-B782-301195AF1651}"/>
  <sortState xmlns:xlrd2="http://schemas.microsoft.com/office/spreadsheetml/2017/richdata2" ref="W2:X16">
    <sortCondition descending="1" ref="X2:X16"/>
  </sortState>
  <tableColumns count="2">
    <tableColumn id="1" xr3:uid="{0AC2ED1E-A48D-4A42-8CCC-C3B2F419C17F}" name="Product Name "/>
    <tableColumn id="2" xr3:uid="{D0FA03C5-2BF3-4BB8-A301-DB4E4C0F5DAC}" name="Price" dataDxfId="47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509CB0A-F241-4699-AE48-24C9F0639F73}" name="Table14" displayName="Table14" ref="AC1:AD222" totalsRowShown="0">
  <autoFilter ref="AC1:AD222" xr:uid="{7509CB0A-F241-4699-AE48-24C9F0639F73}"/>
  <tableColumns count="2">
    <tableColumn id="1" xr3:uid="{95810D1B-D270-40C3-8606-FA3E5CD57020}" name="Age(Size)"/>
    <tableColumn id="2" xr3:uid="{774C71FF-4986-4367-82D1-F782F0D5C57C}" name="Count of Ages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A869E49-AD86-4767-919E-C01EB0EA9F1C}" name="Table15" displayName="Table15" ref="AF1:AF33" totalsRowShown="0">
  <autoFilter ref="AF1:AF33" xr:uid="{0A869E49-AD86-4767-919E-C01EB0EA9F1C}"/>
  <tableColumns count="1">
    <tableColumn id="1" xr3:uid="{F393760F-B9DB-4C13-B4B1-F2D10C7DD213}" name="Shoe(Size)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A9A3938-91B7-452E-A8C7-64812807B6F1}" name="Table16" displayName="Table16" ref="AH1:AH20" totalsRowShown="0">
  <autoFilter ref="AH1:AH20" xr:uid="{FA9A3938-91B7-452E-A8C7-64812807B6F1}"/>
  <tableColumns count="1">
    <tableColumn id="1" xr3:uid="{A1147AAA-E3AA-43B3-B79E-DB7B298BA5A9}" name="Clothes(Size)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87F0D7F-AA22-4ACF-9586-D658758178C8}" name="Table18" displayName="Table18" ref="A1:C110" totalsRowShown="0" headerRowBorderDxfId="43" tableBorderDxfId="42">
  <autoFilter ref="A1:C110" xr:uid="{C87F0D7F-AA22-4ACF-9586-D658758178C8}"/>
  <tableColumns count="3">
    <tableColumn id="1" xr3:uid="{5506DF40-4377-48D8-BA09-5841EA94AD43}" name="Product Name " dataDxfId="41"/>
    <tableColumn id="2" xr3:uid="{F6F42116-48A9-4B6D-89E2-13CF27CD68EF}" name="Price" dataDxfId="40"/>
    <tableColumn id="3" xr3:uid="{D9287C0C-306D-4EC6-BF2C-721D51D1D1E5}" name="Quantity Sold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20D4837-8B78-4FEB-B8C6-48E7817B12D5}" name="Table19" displayName="Table19" ref="M12:O19" totalsRowShown="0">
  <autoFilter ref="M12:O19" xr:uid="{B20D4837-8B78-4FEB-B8C6-48E7817B12D5}"/>
  <sortState xmlns:xlrd2="http://schemas.microsoft.com/office/spreadsheetml/2017/richdata2" ref="M13:O19">
    <sortCondition ref="N17:N19"/>
  </sortState>
  <tableColumns count="3">
    <tableColumn id="1" xr3:uid="{40661C87-1B06-4C42-A987-933E80EC85CA}" name="Product Name" dataDxfId="39"/>
    <tableColumn id="2" xr3:uid="{B20C1F2E-282C-4439-9CCC-9849F97D6C66}" name="Sum of Price" dataDxfId="38"/>
    <tableColumn id="3" xr3:uid="{34A4C906-5DDA-4477-86A9-F162F26329C8}" name="Sum of Quantity Sold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1D8C2DF-D322-4CBF-B57F-30065D541196}" name="Table20" displayName="Table20" ref="W1:X14" totalsRowShown="0" headerRowBorderDxfId="37" tableBorderDxfId="36" totalsRowBorderDxfId="35">
  <autoFilter ref="W1:X14" xr:uid="{01D8C2DF-D322-4CBF-B57F-30065D541196}"/>
  <sortState xmlns:xlrd2="http://schemas.microsoft.com/office/spreadsheetml/2017/richdata2" ref="W2:X14">
    <sortCondition ref="X3:X14"/>
  </sortState>
  <tableColumns count="2">
    <tableColumn id="1" xr3:uid="{EEE7AE66-7250-4C7A-AE1A-62B1D77468BF}" name="Product Name " dataDxfId="34"/>
    <tableColumn id="2" xr3:uid="{1BDA7F79-0F8A-421A-9E16-32CF00E48200}" name="Price" dataDxfId="3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E223E68-4A15-451A-8FBE-C699864ECAEC}" name="Table21" displayName="Table21" ref="AI2:AN29" totalsRowShown="0" headerRowDxfId="7">
  <autoFilter ref="AI2:AN29" xr:uid="{FE223E68-4A15-451A-8FBE-C699864ECAEC}"/>
  <tableColumns count="6">
    <tableColumn id="1" xr3:uid="{DA3FCE37-B651-4D07-BA68-12F7469793D4}" name="Sunday"/>
    <tableColumn id="2" xr3:uid="{4C4F6207-ABD0-4FB4-ADD3-3EDF306704F4}" name="Monday"/>
    <tableColumn id="3" xr3:uid="{8E88B5A7-ADEE-43A5-90C1-DAD6E45BDA81}" name="Tuesday"/>
    <tableColumn id="4" xr3:uid="{6A07AE47-B75E-46D1-AB1E-54E909B25E59}" name="Wednesday"/>
    <tableColumn id="5" xr3:uid="{E77E9537-7B65-4E2C-B93A-349F9D8F857E}" name="Thursday"/>
    <tableColumn id="6" xr3:uid="{DF7070CF-3C99-4DCE-AD1E-5C06456C2123}" name="Friday "/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F8C89FA-7D0A-4116-815A-3FF018B626E5}" name="Table23" displayName="Table23" ref="AR13:AS19" totalsRowShown="0" headerRowDxfId="6" dataDxfId="5" tableBorderDxfId="4">
  <autoFilter ref="AR13:AS19" xr:uid="{7F8C89FA-7D0A-4116-815A-3FF018B626E5}"/>
  <tableColumns count="2">
    <tableColumn id="1" xr3:uid="{EDFA0B62-35FA-4CB8-8FE5-8C1C57087B72}" name="Days of the week" dataDxfId="3"/>
    <tableColumn id="2" xr3:uid="{39FA5432-6C22-45F0-8D52-44E41188A79E}" name="Revenue" dataDxfId="2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table" Target="../tables/table15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table" Target="../tables/table1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474C7-E64A-4B2C-91D8-6E8C6CD0CE4F}">
  <sheetPr>
    <tabColor rgb="FF7030A0"/>
  </sheetPr>
  <dimension ref="A1:G217"/>
  <sheetViews>
    <sheetView zoomScale="85" zoomScaleNormal="85" workbookViewId="0">
      <selection activeCell="D13" sqref="D13"/>
    </sheetView>
  </sheetViews>
  <sheetFormatPr defaultRowHeight="14.4" x14ac:dyDescent="0.3"/>
  <cols>
    <col min="1" max="1" width="50.5546875" bestFit="1" customWidth="1"/>
    <col min="2" max="2" width="11.109375" customWidth="1"/>
    <col min="3" max="3" width="13" customWidth="1"/>
    <col min="4" max="4" width="14.109375" customWidth="1"/>
    <col min="5" max="5" width="32.44140625" bestFit="1" customWidth="1"/>
    <col min="6" max="6" width="11.88671875" style="8" bestFit="1" customWidth="1"/>
    <col min="7" max="7" width="13.44140625" bestFit="1" customWidth="1"/>
  </cols>
  <sheetData>
    <row r="1" spans="1:7" x14ac:dyDescent="0.3">
      <c r="A1" s="1" t="s">
        <v>3</v>
      </c>
      <c r="B1" s="1" t="s">
        <v>4</v>
      </c>
      <c r="C1" s="1" t="s">
        <v>0</v>
      </c>
      <c r="D1" s="1" t="s">
        <v>25</v>
      </c>
      <c r="E1" s="1" t="s">
        <v>240</v>
      </c>
      <c r="F1" s="7" t="s">
        <v>409</v>
      </c>
      <c r="G1" s="1" t="s">
        <v>408</v>
      </c>
    </row>
    <row r="2" spans="1:7" x14ac:dyDescent="0.3">
      <c r="A2" t="s">
        <v>5</v>
      </c>
      <c r="B2" t="s">
        <v>6</v>
      </c>
      <c r="C2" t="s">
        <v>1</v>
      </c>
      <c r="D2">
        <v>1</v>
      </c>
      <c r="F2" s="8">
        <v>12500</v>
      </c>
      <c r="G2" s="8">
        <f>Table2[[#This Row],[Unit_Price]]*Table2[[#This Row],[Quantity Sold]]</f>
        <v>12500</v>
      </c>
    </row>
    <row r="3" spans="1:7" x14ac:dyDescent="0.3">
      <c r="C3" t="s">
        <v>2</v>
      </c>
      <c r="D3">
        <v>2</v>
      </c>
      <c r="F3" s="8">
        <v>12500</v>
      </c>
      <c r="G3" s="8">
        <f>Table2[[#This Row],[Unit_Price]]*Table2[[#This Row],[Quantity Sold]]</f>
        <v>25000</v>
      </c>
    </row>
    <row r="4" spans="1:7" x14ac:dyDescent="0.3">
      <c r="A4" t="s">
        <v>7</v>
      </c>
      <c r="B4" t="s">
        <v>8</v>
      </c>
      <c r="D4">
        <v>4</v>
      </c>
      <c r="F4" s="8">
        <v>15500</v>
      </c>
      <c r="G4" s="8">
        <f>Table2[[#This Row],[Unit_Price]]*Table2[[#This Row],[Quantity Sold]]</f>
        <v>62000</v>
      </c>
    </row>
    <row r="5" spans="1:7" x14ac:dyDescent="0.3">
      <c r="A5" t="s">
        <v>9</v>
      </c>
      <c r="B5" t="s">
        <v>10</v>
      </c>
      <c r="D5">
        <v>1</v>
      </c>
      <c r="F5" s="8">
        <v>25000</v>
      </c>
      <c r="G5" s="8">
        <f>Table2[[#This Row],[Unit_Price]]*Table2[[#This Row],[Quantity Sold]]</f>
        <v>25000</v>
      </c>
    </row>
    <row r="6" spans="1:7" x14ac:dyDescent="0.3">
      <c r="A6" t="s">
        <v>11</v>
      </c>
      <c r="B6" t="s">
        <v>12</v>
      </c>
      <c r="C6" t="s">
        <v>13</v>
      </c>
      <c r="D6">
        <v>2</v>
      </c>
      <c r="F6" s="8">
        <v>10500</v>
      </c>
      <c r="G6" s="8">
        <f>Table2[[#This Row],[Unit_Price]]*Table2[[#This Row],[Quantity Sold]]</f>
        <v>21000</v>
      </c>
    </row>
    <row r="7" spans="1:7" x14ac:dyDescent="0.3">
      <c r="C7" t="s">
        <v>14</v>
      </c>
      <c r="D7">
        <v>1</v>
      </c>
      <c r="F7" s="8">
        <v>10500</v>
      </c>
      <c r="G7" s="8">
        <f>Table2[[#This Row],[Unit_Price]]*Table2[[#This Row],[Quantity Sold]]</f>
        <v>10500</v>
      </c>
    </row>
    <row r="8" spans="1:7" x14ac:dyDescent="0.3">
      <c r="C8" t="s">
        <v>15</v>
      </c>
      <c r="D8">
        <v>2</v>
      </c>
      <c r="F8" s="8">
        <v>10500</v>
      </c>
      <c r="G8" s="8">
        <f>Table2[[#This Row],[Unit_Price]]*Table2[[#This Row],[Quantity Sold]]</f>
        <v>21000</v>
      </c>
    </row>
    <row r="9" spans="1:7" x14ac:dyDescent="0.3">
      <c r="A9" t="s">
        <v>16</v>
      </c>
      <c r="B9" t="s">
        <v>17</v>
      </c>
      <c r="C9" t="s">
        <v>18</v>
      </c>
      <c r="D9">
        <v>1</v>
      </c>
      <c r="F9" s="8">
        <v>20000</v>
      </c>
      <c r="G9" s="8">
        <f>Table2[[#This Row],[Unit_Price]]*Table2[[#This Row],[Quantity Sold]]</f>
        <v>20000</v>
      </c>
    </row>
    <row r="10" spans="1:7" x14ac:dyDescent="0.3">
      <c r="A10" t="s">
        <v>19</v>
      </c>
      <c r="B10" t="s">
        <v>20</v>
      </c>
      <c r="C10" t="s">
        <v>14</v>
      </c>
      <c r="D10">
        <v>1</v>
      </c>
      <c r="F10" s="8">
        <v>30000</v>
      </c>
      <c r="G10" s="8">
        <f>Table2[[#This Row],[Unit_Price]]*Table2[[#This Row],[Quantity Sold]]</f>
        <v>30000</v>
      </c>
    </row>
    <row r="11" spans="1:7" x14ac:dyDescent="0.3">
      <c r="C11" t="s">
        <v>13</v>
      </c>
      <c r="D11">
        <v>1</v>
      </c>
      <c r="F11" s="8">
        <v>30000</v>
      </c>
      <c r="G11" s="8">
        <f>Table2[[#This Row],[Unit_Price]]*Table2[[#This Row],[Quantity Sold]]</f>
        <v>30000</v>
      </c>
    </row>
    <row r="12" spans="1:7" x14ac:dyDescent="0.3">
      <c r="A12" t="s">
        <v>21</v>
      </c>
      <c r="B12" t="s">
        <v>22</v>
      </c>
      <c r="C12" t="s">
        <v>14</v>
      </c>
      <c r="D12">
        <v>1</v>
      </c>
      <c r="F12" s="8">
        <v>9500</v>
      </c>
      <c r="G12" s="8">
        <f>Table2[[#This Row],[Unit_Price]]*Table2[[#This Row],[Quantity Sold]]</f>
        <v>9500</v>
      </c>
    </row>
    <row r="13" spans="1:7" x14ac:dyDescent="0.3">
      <c r="A13" t="s">
        <v>23</v>
      </c>
      <c r="B13" t="s">
        <v>24</v>
      </c>
      <c r="C13" t="s">
        <v>13</v>
      </c>
      <c r="D13">
        <v>1</v>
      </c>
      <c r="G13" s="8">
        <f>Table2[[#This Row],[Unit_Price]]*Table2[[#This Row],[Quantity Sold]]</f>
        <v>0</v>
      </c>
    </row>
    <row r="14" spans="1:7" x14ac:dyDescent="0.3">
      <c r="A14" t="s">
        <v>26</v>
      </c>
      <c r="B14" t="s">
        <v>27</v>
      </c>
      <c r="C14" t="s">
        <v>28</v>
      </c>
      <c r="D14">
        <v>1</v>
      </c>
      <c r="F14" s="8">
        <v>35000</v>
      </c>
      <c r="G14" s="8">
        <f>Table2[[#This Row],[Unit_Price]]*Table2[[#This Row],[Quantity Sold]]</f>
        <v>35000</v>
      </c>
    </row>
    <row r="15" spans="1:7" x14ac:dyDescent="0.3">
      <c r="A15" t="s">
        <v>29</v>
      </c>
      <c r="B15" t="s">
        <v>30</v>
      </c>
      <c r="C15" t="s">
        <v>18</v>
      </c>
      <c r="D15">
        <v>1</v>
      </c>
      <c r="F15" s="8">
        <v>30000</v>
      </c>
      <c r="G15" s="8">
        <f>Table2[[#This Row],[Unit_Price]]*Table2[[#This Row],[Quantity Sold]]</f>
        <v>30000</v>
      </c>
    </row>
    <row r="16" spans="1:7" x14ac:dyDescent="0.3">
      <c r="A16" t="s">
        <v>32</v>
      </c>
      <c r="B16" t="s">
        <v>33</v>
      </c>
      <c r="C16" t="s">
        <v>34</v>
      </c>
      <c r="D16">
        <v>1</v>
      </c>
      <c r="G16" s="8">
        <f>Table2[[#This Row],[Unit_Price]]*Table2[[#This Row],[Quantity Sold]]</f>
        <v>0</v>
      </c>
    </row>
    <row r="17" spans="1:7" x14ac:dyDescent="0.3">
      <c r="A17" t="s">
        <v>35</v>
      </c>
      <c r="B17" t="s">
        <v>36</v>
      </c>
      <c r="C17" t="s">
        <v>37</v>
      </c>
      <c r="D17">
        <v>2</v>
      </c>
      <c r="E17" t="s">
        <v>57</v>
      </c>
      <c r="F17" s="8">
        <v>8000</v>
      </c>
      <c r="G17" s="8">
        <f>Table2[[#This Row],[Unit_Price]]*Table2[[#This Row],[Quantity Sold]]</f>
        <v>16000</v>
      </c>
    </row>
    <row r="18" spans="1:7" x14ac:dyDescent="0.3">
      <c r="C18" t="s">
        <v>38</v>
      </c>
      <c r="D18">
        <v>1</v>
      </c>
      <c r="E18" t="s">
        <v>58</v>
      </c>
      <c r="F18" s="8">
        <v>8000</v>
      </c>
      <c r="G18" s="8">
        <f>Table2[[#This Row],[Unit_Price]]*Table2[[#This Row],[Quantity Sold]]</f>
        <v>8000</v>
      </c>
    </row>
    <row r="19" spans="1:7" x14ac:dyDescent="0.3">
      <c r="C19" t="s">
        <v>39</v>
      </c>
      <c r="D19">
        <v>3</v>
      </c>
      <c r="E19" t="s">
        <v>59</v>
      </c>
      <c r="F19" s="8">
        <v>8000</v>
      </c>
      <c r="G19" s="8">
        <f>Table2[[#This Row],[Unit_Price]]*Table2[[#This Row],[Quantity Sold]]</f>
        <v>24000</v>
      </c>
    </row>
    <row r="20" spans="1:7" x14ac:dyDescent="0.3">
      <c r="C20" t="s">
        <v>40</v>
      </c>
      <c r="D20">
        <v>1</v>
      </c>
      <c r="E20" t="s">
        <v>58</v>
      </c>
      <c r="F20" s="8">
        <v>8000</v>
      </c>
      <c r="G20" s="8">
        <f>Table2[[#This Row],[Unit_Price]]*Table2[[#This Row],[Quantity Sold]]</f>
        <v>8000</v>
      </c>
    </row>
    <row r="21" spans="1:7" x14ac:dyDescent="0.3">
      <c r="A21" t="s">
        <v>41</v>
      </c>
      <c r="B21" t="s">
        <v>42</v>
      </c>
      <c r="C21" t="s">
        <v>43</v>
      </c>
      <c r="D21">
        <v>1</v>
      </c>
      <c r="E21" t="s">
        <v>60</v>
      </c>
      <c r="F21" s="8">
        <v>11500</v>
      </c>
      <c r="G21" s="8">
        <f>Table2[[#This Row],[Unit_Price]]*Table2[[#This Row],[Quantity Sold]]</f>
        <v>11500</v>
      </c>
    </row>
    <row r="22" spans="1:7" x14ac:dyDescent="0.3">
      <c r="A22" t="s">
        <v>44</v>
      </c>
      <c r="B22" t="s">
        <v>45</v>
      </c>
      <c r="D22">
        <v>1</v>
      </c>
      <c r="E22" t="s">
        <v>61</v>
      </c>
      <c r="F22" s="8">
        <v>12000</v>
      </c>
      <c r="G22" s="8">
        <f>Table2[[#This Row],[Unit_Price]]*Table2[[#This Row],[Quantity Sold]]</f>
        <v>12000</v>
      </c>
    </row>
    <row r="23" spans="1:7" x14ac:dyDescent="0.3">
      <c r="A23" t="s">
        <v>46</v>
      </c>
      <c r="B23" t="s">
        <v>47</v>
      </c>
      <c r="C23" t="s">
        <v>48</v>
      </c>
      <c r="D23">
        <v>2</v>
      </c>
      <c r="E23" t="s">
        <v>62</v>
      </c>
      <c r="F23" s="8">
        <v>15000</v>
      </c>
      <c r="G23" s="8">
        <f>Table2[[#This Row],[Unit_Price]]*Table2[[#This Row],[Quantity Sold]]</f>
        <v>30000</v>
      </c>
    </row>
    <row r="24" spans="1:7" x14ac:dyDescent="0.3">
      <c r="A24" t="s">
        <v>49</v>
      </c>
      <c r="B24" t="s">
        <v>50</v>
      </c>
      <c r="C24" t="s">
        <v>39</v>
      </c>
      <c r="D24">
        <v>3</v>
      </c>
      <c r="E24" t="s">
        <v>63</v>
      </c>
      <c r="F24" s="8">
        <v>9500</v>
      </c>
      <c r="G24" s="8">
        <f>Table2[[#This Row],[Unit_Price]]*Table2[[#This Row],[Quantity Sold]]</f>
        <v>28500</v>
      </c>
    </row>
    <row r="25" spans="1:7" x14ac:dyDescent="0.3">
      <c r="C25" t="s">
        <v>40</v>
      </c>
      <c r="D25">
        <v>1</v>
      </c>
      <c r="E25" t="s">
        <v>61</v>
      </c>
      <c r="F25" s="8">
        <v>9500</v>
      </c>
      <c r="G25" s="8">
        <f>Table2[[#This Row],[Unit_Price]]*Table2[[#This Row],[Quantity Sold]]</f>
        <v>9500</v>
      </c>
    </row>
    <row r="26" spans="1:7" x14ac:dyDescent="0.3">
      <c r="A26" t="s">
        <v>51</v>
      </c>
      <c r="B26" t="s">
        <v>52</v>
      </c>
      <c r="C26" t="s">
        <v>13</v>
      </c>
      <c r="D26">
        <v>2</v>
      </c>
      <c r="E26" t="s">
        <v>64</v>
      </c>
      <c r="F26" s="8">
        <v>10500</v>
      </c>
      <c r="G26" s="8">
        <f>Table2[[#This Row],[Unit_Price]]*Table2[[#This Row],[Quantity Sold]]</f>
        <v>21000</v>
      </c>
    </row>
    <row r="27" spans="1:7" x14ac:dyDescent="0.3">
      <c r="C27" t="s">
        <v>40</v>
      </c>
      <c r="D27">
        <v>2</v>
      </c>
      <c r="E27" t="s">
        <v>65</v>
      </c>
      <c r="F27" s="8">
        <v>10500</v>
      </c>
      <c r="G27" s="8">
        <f>Table2[[#This Row],[Unit_Price]]*Table2[[#This Row],[Quantity Sold]]</f>
        <v>21000</v>
      </c>
    </row>
    <row r="28" spans="1:7" x14ac:dyDescent="0.3">
      <c r="A28" t="s">
        <v>53</v>
      </c>
      <c r="B28" t="s">
        <v>54</v>
      </c>
      <c r="C28" t="s">
        <v>13</v>
      </c>
      <c r="D28">
        <v>2</v>
      </c>
      <c r="E28" t="s">
        <v>66</v>
      </c>
      <c r="F28" s="8">
        <v>14500</v>
      </c>
      <c r="G28" s="8">
        <f>Table2[[#This Row],[Unit_Price]]*Table2[[#This Row],[Quantity Sold]]</f>
        <v>29000</v>
      </c>
    </row>
    <row r="29" spans="1:7" x14ac:dyDescent="0.3">
      <c r="C29" t="s">
        <v>14</v>
      </c>
      <c r="D29">
        <v>2</v>
      </c>
      <c r="E29" t="s">
        <v>66</v>
      </c>
      <c r="F29" s="8">
        <v>14500</v>
      </c>
      <c r="G29" s="8">
        <f>Table2[[#This Row],[Unit_Price]]*Table2[[#This Row],[Quantity Sold]]</f>
        <v>29000</v>
      </c>
    </row>
    <row r="30" spans="1:7" x14ac:dyDescent="0.3">
      <c r="A30" t="s">
        <v>55</v>
      </c>
      <c r="B30" t="s">
        <v>56</v>
      </c>
      <c r="D30">
        <v>2</v>
      </c>
      <c r="E30" t="s">
        <v>69</v>
      </c>
      <c r="F30" s="8">
        <v>25000</v>
      </c>
      <c r="G30" s="8">
        <f>Table2[[#This Row],[Unit_Price]]*Table2[[#This Row],[Quantity Sold]]</f>
        <v>50000</v>
      </c>
    </row>
    <row r="31" spans="1:7" x14ac:dyDescent="0.3">
      <c r="A31" t="s">
        <v>67</v>
      </c>
      <c r="B31" t="s">
        <v>68</v>
      </c>
      <c r="D31">
        <v>2</v>
      </c>
      <c r="E31" t="s">
        <v>70</v>
      </c>
      <c r="F31" s="8">
        <v>25000</v>
      </c>
      <c r="G31" s="8">
        <f>Table2[[#This Row],[Unit_Price]]*Table2[[#This Row],[Quantity Sold]]</f>
        <v>50000</v>
      </c>
    </row>
    <row r="32" spans="1:7" x14ac:dyDescent="0.3">
      <c r="A32" t="s">
        <v>71</v>
      </c>
      <c r="B32" t="s">
        <v>72</v>
      </c>
      <c r="D32">
        <v>2</v>
      </c>
      <c r="E32" t="s">
        <v>73</v>
      </c>
      <c r="F32" s="8">
        <v>20000</v>
      </c>
      <c r="G32" s="8">
        <f>Table2[[#This Row],[Unit_Price]]*Table2[[#This Row],[Quantity Sold]]</f>
        <v>40000</v>
      </c>
    </row>
    <row r="33" spans="1:7" x14ac:dyDescent="0.3">
      <c r="A33" t="s">
        <v>74</v>
      </c>
      <c r="B33" t="s">
        <v>75</v>
      </c>
      <c r="D33">
        <v>2</v>
      </c>
      <c r="F33" s="8">
        <v>25000</v>
      </c>
      <c r="G33" s="8">
        <f>Table2[[#This Row],[Unit_Price]]*Table2[[#This Row],[Quantity Sold]]</f>
        <v>50000</v>
      </c>
    </row>
    <row r="34" spans="1:7" x14ac:dyDescent="0.3">
      <c r="A34" t="s">
        <v>79</v>
      </c>
      <c r="B34" t="s">
        <v>76</v>
      </c>
      <c r="D34">
        <v>1</v>
      </c>
      <c r="E34" t="s">
        <v>58</v>
      </c>
      <c r="F34" s="8">
        <v>25000</v>
      </c>
      <c r="G34" s="8">
        <f>Table2[[#This Row],[Unit_Price]]*Table2[[#This Row],[Quantity Sold]]</f>
        <v>25000</v>
      </c>
    </row>
    <row r="35" spans="1:7" x14ac:dyDescent="0.3">
      <c r="A35" t="s">
        <v>77</v>
      </c>
      <c r="B35" t="s">
        <v>78</v>
      </c>
      <c r="D35">
        <v>4</v>
      </c>
      <c r="E35" t="s">
        <v>80</v>
      </c>
      <c r="F35" s="8">
        <v>20000</v>
      </c>
      <c r="G35" s="8">
        <f>Table2[[#This Row],[Unit_Price]]*Table2[[#This Row],[Quantity Sold]]</f>
        <v>80000</v>
      </c>
    </row>
    <row r="36" spans="1:7" x14ac:dyDescent="0.3">
      <c r="A36" t="s">
        <v>81</v>
      </c>
      <c r="B36" t="s">
        <v>82</v>
      </c>
      <c r="D36">
        <v>4</v>
      </c>
      <c r="E36" t="s">
        <v>83</v>
      </c>
      <c r="F36" s="8">
        <v>25000</v>
      </c>
      <c r="G36" s="8">
        <f>Table2[[#This Row],[Unit_Price]]*Table2[[#This Row],[Quantity Sold]]</f>
        <v>100000</v>
      </c>
    </row>
    <row r="37" spans="1:7" x14ac:dyDescent="0.3">
      <c r="A37" t="s">
        <v>84</v>
      </c>
      <c r="B37" t="s">
        <v>85</v>
      </c>
      <c r="D37">
        <v>1</v>
      </c>
      <c r="E37" t="s">
        <v>86</v>
      </c>
      <c r="F37" s="8">
        <v>20000</v>
      </c>
      <c r="G37" s="8">
        <f>Table2[[#This Row],[Unit_Price]]*Table2[[#This Row],[Quantity Sold]]</f>
        <v>20000</v>
      </c>
    </row>
    <row r="38" spans="1:7" x14ac:dyDescent="0.3">
      <c r="A38" t="s">
        <v>87</v>
      </c>
      <c r="B38" t="s">
        <v>88</v>
      </c>
      <c r="C38" t="s">
        <v>89</v>
      </c>
      <c r="D38">
        <v>2</v>
      </c>
      <c r="E38" t="s">
        <v>90</v>
      </c>
      <c r="F38" s="8">
        <v>30000</v>
      </c>
      <c r="G38" s="8">
        <f>Table2[[#This Row],[Unit_Price]]*Table2[[#This Row],[Quantity Sold]]</f>
        <v>60000</v>
      </c>
    </row>
    <row r="39" spans="1:7" x14ac:dyDescent="0.3">
      <c r="A39" t="s">
        <v>91</v>
      </c>
      <c r="B39" t="s">
        <v>92</v>
      </c>
      <c r="C39" t="s">
        <v>13</v>
      </c>
      <c r="D39">
        <v>4</v>
      </c>
      <c r="E39" t="s">
        <v>93</v>
      </c>
      <c r="F39" s="8">
        <v>35000</v>
      </c>
      <c r="G39" s="8">
        <f>Table2[[#This Row],[Unit_Price]]*Table2[[#This Row],[Quantity Sold]]</f>
        <v>140000</v>
      </c>
    </row>
    <row r="40" spans="1:7" x14ac:dyDescent="0.3">
      <c r="C40" t="s">
        <v>94</v>
      </c>
      <c r="D40">
        <v>1</v>
      </c>
      <c r="E40" t="s">
        <v>98</v>
      </c>
      <c r="F40" s="8">
        <v>35000</v>
      </c>
      <c r="G40" s="8">
        <f>Table2[[#This Row],[Unit_Price]]*Table2[[#This Row],[Quantity Sold]]</f>
        <v>35000</v>
      </c>
    </row>
    <row r="41" spans="1:7" x14ac:dyDescent="0.3">
      <c r="A41" t="s">
        <v>95</v>
      </c>
      <c r="B41" t="s">
        <v>96</v>
      </c>
      <c r="D41">
        <v>3</v>
      </c>
      <c r="E41" t="s">
        <v>97</v>
      </c>
      <c r="F41" s="8">
        <v>35000</v>
      </c>
      <c r="G41" s="8">
        <f>Table2[[#This Row],[Unit_Price]]*Table2[[#This Row],[Quantity Sold]]</f>
        <v>105000</v>
      </c>
    </row>
    <row r="42" spans="1:7" x14ac:dyDescent="0.3">
      <c r="A42" t="s">
        <v>99</v>
      </c>
      <c r="B42" t="s">
        <v>96</v>
      </c>
      <c r="D42">
        <v>5</v>
      </c>
      <c r="E42" t="s">
        <v>100</v>
      </c>
      <c r="F42" s="8">
        <v>25000</v>
      </c>
      <c r="G42" s="8">
        <f>Table2[[#This Row],[Unit_Price]]*Table2[[#This Row],[Quantity Sold]]</f>
        <v>125000</v>
      </c>
    </row>
    <row r="43" spans="1:7" x14ac:dyDescent="0.3">
      <c r="A43" t="s">
        <v>101</v>
      </c>
      <c r="B43" t="s">
        <v>102</v>
      </c>
      <c r="C43" t="s">
        <v>103</v>
      </c>
      <c r="D43">
        <v>1</v>
      </c>
      <c r="F43" s="8">
        <v>45000</v>
      </c>
      <c r="G43" s="8">
        <f>Table2[[#This Row],[Unit_Price]]*Table2[[#This Row],[Quantity Sold]]</f>
        <v>45000</v>
      </c>
    </row>
    <row r="44" spans="1:7" x14ac:dyDescent="0.3">
      <c r="C44" t="s">
        <v>104</v>
      </c>
      <c r="D44">
        <v>1</v>
      </c>
      <c r="F44" s="8">
        <v>45000</v>
      </c>
      <c r="G44" s="8">
        <f>Table2[[#This Row],[Unit_Price]]*Table2[[#This Row],[Quantity Sold]]</f>
        <v>45000</v>
      </c>
    </row>
    <row r="45" spans="1:7" x14ac:dyDescent="0.3">
      <c r="C45" t="s">
        <v>105</v>
      </c>
      <c r="D45">
        <v>1</v>
      </c>
      <c r="F45" s="8">
        <v>45000</v>
      </c>
      <c r="G45" s="8">
        <f>Table2[[#This Row],[Unit_Price]]*Table2[[#This Row],[Quantity Sold]]</f>
        <v>45000</v>
      </c>
    </row>
    <row r="46" spans="1:7" x14ac:dyDescent="0.3">
      <c r="A46" t="s">
        <v>106</v>
      </c>
      <c r="B46" t="s">
        <v>107</v>
      </c>
      <c r="D46">
        <v>1</v>
      </c>
      <c r="E46" t="s">
        <v>108</v>
      </c>
      <c r="F46" s="8">
        <v>17500</v>
      </c>
      <c r="G46" s="8">
        <f>Table2[[#This Row],[Unit_Price]]*Table2[[#This Row],[Quantity Sold]]</f>
        <v>17500</v>
      </c>
    </row>
    <row r="47" spans="1:7" x14ac:dyDescent="0.3">
      <c r="A47" t="s">
        <v>109</v>
      </c>
      <c r="B47" t="s">
        <v>110</v>
      </c>
      <c r="C47" t="s">
        <v>111</v>
      </c>
      <c r="D47">
        <v>2</v>
      </c>
      <c r="E47" t="s">
        <v>112</v>
      </c>
      <c r="F47" s="8">
        <v>20000</v>
      </c>
      <c r="G47" s="8">
        <f>Table2[[#This Row],[Unit_Price]]*Table2[[#This Row],[Quantity Sold]]</f>
        <v>40000</v>
      </c>
    </row>
    <row r="48" spans="1:7" x14ac:dyDescent="0.3">
      <c r="A48" t="s">
        <v>113</v>
      </c>
      <c r="B48" t="s">
        <v>114</v>
      </c>
      <c r="C48" t="s">
        <v>94</v>
      </c>
      <c r="D48">
        <v>1</v>
      </c>
      <c r="E48" t="s">
        <v>115</v>
      </c>
      <c r="F48" s="8">
        <v>18000</v>
      </c>
      <c r="G48" s="8">
        <f>Table2[[#This Row],[Unit_Price]]*Table2[[#This Row],[Quantity Sold]]</f>
        <v>18000</v>
      </c>
    </row>
    <row r="49" spans="1:7" x14ac:dyDescent="0.3">
      <c r="B49" t="s">
        <v>116</v>
      </c>
      <c r="C49" t="s">
        <v>105</v>
      </c>
      <c r="D49">
        <v>1</v>
      </c>
      <c r="E49" t="s">
        <v>61</v>
      </c>
      <c r="F49" s="8">
        <v>18000</v>
      </c>
      <c r="G49" s="8">
        <f>Table2[[#This Row],[Unit_Price]]*Table2[[#This Row],[Quantity Sold]]</f>
        <v>18000</v>
      </c>
    </row>
    <row r="50" spans="1:7" x14ac:dyDescent="0.3">
      <c r="A50" t="s">
        <v>117</v>
      </c>
      <c r="B50" t="s">
        <v>118</v>
      </c>
      <c r="C50" t="s">
        <v>13</v>
      </c>
      <c r="D50">
        <v>2</v>
      </c>
      <c r="E50" t="s">
        <v>119</v>
      </c>
      <c r="F50" s="8">
        <v>12000</v>
      </c>
      <c r="G50" s="8">
        <f>Table2[[#This Row],[Unit_Price]]*Table2[[#This Row],[Quantity Sold]]</f>
        <v>24000</v>
      </c>
    </row>
    <row r="51" spans="1:7" x14ac:dyDescent="0.3">
      <c r="C51" t="s">
        <v>28</v>
      </c>
      <c r="D51">
        <v>1</v>
      </c>
      <c r="E51" t="s">
        <v>124</v>
      </c>
      <c r="F51" s="8">
        <v>12000</v>
      </c>
      <c r="G51" s="8">
        <f>Table2[[#This Row],[Unit_Price]]*Table2[[#This Row],[Quantity Sold]]</f>
        <v>12000</v>
      </c>
    </row>
    <row r="52" spans="1:7" x14ac:dyDescent="0.3">
      <c r="A52" t="s">
        <v>120</v>
      </c>
      <c r="B52" t="s">
        <v>121</v>
      </c>
      <c r="D52">
        <v>1</v>
      </c>
      <c r="E52" t="s">
        <v>124</v>
      </c>
      <c r="G52" s="8">
        <f>Table2[[#This Row],[Unit_Price]]*Table2[[#This Row],[Quantity Sold]]</f>
        <v>0</v>
      </c>
    </row>
    <row r="53" spans="1:7" x14ac:dyDescent="0.3">
      <c r="A53" t="s">
        <v>122</v>
      </c>
      <c r="B53" t="s">
        <v>123</v>
      </c>
      <c r="D53">
        <v>3</v>
      </c>
      <c r="E53" t="s">
        <v>125</v>
      </c>
      <c r="F53" s="8">
        <v>19500</v>
      </c>
      <c r="G53" s="8">
        <f>Table2[[#This Row],[Unit_Price]]*Table2[[#This Row],[Quantity Sold]]</f>
        <v>58500</v>
      </c>
    </row>
    <row r="54" spans="1:7" x14ac:dyDescent="0.3">
      <c r="A54" t="s">
        <v>126</v>
      </c>
      <c r="B54" t="s">
        <v>127</v>
      </c>
      <c r="D54">
        <v>1</v>
      </c>
      <c r="E54" t="s">
        <v>128</v>
      </c>
      <c r="G54" s="8">
        <f>Table2[[#This Row],[Unit_Price]]*Table2[[#This Row],[Quantity Sold]]</f>
        <v>0</v>
      </c>
    </row>
    <row r="55" spans="1:7" x14ac:dyDescent="0.3">
      <c r="A55" t="s">
        <v>129</v>
      </c>
      <c r="B55" t="s">
        <v>130</v>
      </c>
      <c r="C55" t="s">
        <v>13</v>
      </c>
      <c r="D55">
        <v>3</v>
      </c>
      <c r="E55" t="s">
        <v>131</v>
      </c>
      <c r="F55" s="8">
        <v>27500</v>
      </c>
      <c r="G55" s="8">
        <f>Table2[[#This Row],[Unit_Price]]*Table2[[#This Row],[Quantity Sold]]</f>
        <v>82500</v>
      </c>
    </row>
    <row r="56" spans="1:7" x14ac:dyDescent="0.3">
      <c r="A56" t="s">
        <v>132</v>
      </c>
      <c r="B56" t="s">
        <v>133</v>
      </c>
      <c r="D56">
        <v>2</v>
      </c>
      <c r="E56" t="s">
        <v>134</v>
      </c>
      <c r="F56" s="8">
        <v>27500</v>
      </c>
      <c r="G56" s="8">
        <f>Table2[[#This Row],[Unit_Price]]*Table2[[#This Row],[Quantity Sold]]</f>
        <v>55000</v>
      </c>
    </row>
    <row r="57" spans="1:7" x14ac:dyDescent="0.3">
      <c r="A57" t="s">
        <v>135</v>
      </c>
      <c r="B57" t="s">
        <v>136</v>
      </c>
      <c r="C57" t="s">
        <v>104</v>
      </c>
      <c r="D57">
        <v>2</v>
      </c>
      <c r="E57" t="s">
        <v>137</v>
      </c>
      <c r="F57" s="8">
        <v>23500</v>
      </c>
      <c r="G57" s="8">
        <f>Table2[[#This Row],[Unit_Price]]*Table2[[#This Row],[Quantity Sold]]</f>
        <v>47000</v>
      </c>
    </row>
    <row r="58" spans="1:7" x14ac:dyDescent="0.3">
      <c r="A58" t="s">
        <v>138</v>
      </c>
      <c r="B58" t="s">
        <v>139</v>
      </c>
      <c r="D58">
        <v>1</v>
      </c>
      <c r="E58" t="s">
        <v>140</v>
      </c>
      <c r="F58" s="8">
        <v>22500</v>
      </c>
      <c r="G58" s="8">
        <f>Table2[[#This Row],[Unit_Price]]*Table2[[#This Row],[Quantity Sold]]</f>
        <v>22500</v>
      </c>
    </row>
    <row r="59" spans="1:7" x14ac:dyDescent="0.3">
      <c r="A59" t="s">
        <v>141</v>
      </c>
      <c r="B59" t="s">
        <v>142</v>
      </c>
      <c r="D59">
        <v>1</v>
      </c>
      <c r="E59" t="s">
        <v>143</v>
      </c>
      <c r="F59" s="8">
        <v>23000</v>
      </c>
      <c r="G59" s="8">
        <f>Table2[[#This Row],[Unit_Price]]*Table2[[#This Row],[Quantity Sold]]</f>
        <v>23000</v>
      </c>
    </row>
    <row r="60" spans="1:7" x14ac:dyDescent="0.3">
      <c r="A60" t="s">
        <v>144</v>
      </c>
      <c r="B60" t="s">
        <v>145</v>
      </c>
      <c r="D60">
        <v>2</v>
      </c>
      <c r="E60" t="s">
        <v>119</v>
      </c>
      <c r="F60" s="8">
        <v>30000</v>
      </c>
      <c r="G60" s="8">
        <f>Table2[[#This Row],[Unit_Price]]*Table2[[#This Row],[Quantity Sold]]</f>
        <v>60000</v>
      </c>
    </row>
    <row r="61" spans="1:7" x14ac:dyDescent="0.3">
      <c r="A61" t="s">
        <v>146</v>
      </c>
      <c r="B61" t="s">
        <v>147</v>
      </c>
      <c r="D61">
        <v>2</v>
      </c>
      <c r="E61" t="s">
        <v>65</v>
      </c>
      <c r="F61" s="8">
        <v>30000</v>
      </c>
      <c r="G61" s="8">
        <f>Table2[[#This Row],[Unit_Price]]*Table2[[#This Row],[Quantity Sold]]</f>
        <v>60000</v>
      </c>
    </row>
    <row r="62" spans="1:7" x14ac:dyDescent="0.3">
      <c r="A62" t="s">
        <v>148</v>
      </c>
      <c r="B62" t="s">
        <v>149</v>
      </c>
      <c r="D62">
        <v>2</v>
      </c>
      <c r="E62" t="s">
        <v>62</v>
      </c>
      <c r="F62" s="8">
        <v>30000</v>
      </c>
      <c r="G62" s="8">
        <f>Table2[[#This Row],[Unit_Price]]*Table2[[#This Row],[Quantity Sold]]</f>
        <v>60000</v>
      </c>
    </row>
    <row r="63" spans="1:7" x14ac:dyDescent="0.3">
      <c r="A63" t="s">
        <v>150</v>
      </c>
      <c r="B63" t="s">
        <v>151</v>
      </c>
      <c r="C63" t="s">
        <v>1</v>
      </c>
      <c r="D63">
        <v>1</v>
      </c>
      <c r="F63" s="8">
        <v>22500</v>
      </c>
      <c r="G63" s="8">
        <f>Table2[[#This Row],[Unit_Price]]*Table2[[#This Row],[Quantity Sold]]</f>
        <v>22500</v>
      </c>
    </row>
    <row r="64" spans="1:7" x14ac:dyDescent="0.3">
      <c r="C64" t="s">
        <v>38</v>
      </c>
      <c r="D64">
        <v>1</v>
      </c>
      <c r="F64" s="8">
        <v>22500</v>
      </c>
      <c r="G64" s="8">
        <f>Table2[[#This Row],[Unit_Price]]*Table2[[#This Row],[Quantity Sold]]</f>
        <v>22500</v>
      </c>
    </row>
    <row r="65" spans="1:7" x14ac:dyDescent="0.3">
      <c r="C65" t="s">
        <v>152</v>
      </c>
      <c r="D65">
        <v>1</v>
      </c>
      <c r="F65" s="8">
        <v>22500</v>
      </c>
      <c r="G65" s="8">
        <f>Table2[[#This Row],[Unit_Price]]*Table2[[#This Row],[Quantity Sold]]</f>
        <v>22500</v>
      </c>
    </row>
    <row r="66" spans="1:7" x14ac:dyDescent="0.3">
      <c r="C66" t="s">
        <v>153</v>
      </c>
      <c r="D66">
        <v>1</v>
      </c>
      <c r="F66" s="8">
        <v>22500</v>
      </c>
      <c r="G66" s="8">
        <f>Table2[[#This Row],[Unit_Price]]*Table2[[#This Row],[Quantity Sold]]</f>
        <v>22500</v>
      </c>
    </row>
    <row r="67" spans="1:7" x14ac:dyDescent="0.3">
      <c r="C67" t="s">
        <v>154</v>
      </c>
      <c r="D67">
        <v>1</v>
      </c>
      <c r="F67" s="8">
        <v>22500</v>
      </c>
      <c r="G67" s="8">
        <f>Table2[[#This Row],[Unit_Price]]*Table2[[#This Row],[Quantity Sold]]</f>
        <v>22500</v>
      </c>
    </row>
    <row r="68" spans="1:7" x14ac:dyDescent="0.3">
      <c r="A68" t="s">
        <v>155</v>
      </c>
      <c r="B68" t="s">
        <v>156</v>
      </c>
      <c r="C68" t="s">
        <v>157</v>
      </c>
      <c r="D68">
        <v>1</v>
      </c>
      <c r="F68" s="8">
        <v>22500</v>
      </c>
      <c r="G68" s="8">
        <f>Table2[[#This Row],[Unit_Price]]*Table2[[#This Row],[Quantity Sold]]</f>
        <v>22500</v>
      </c>
    </row>
    <row r="69" spans="1:7" x14ac:dyDescent="0.3">
      <c r="A69" t="s">
        <v>158</v>
      </c>
      <c r="B69" t="s">
        <v>159</v>
      </c>
      <c r="D69">
        <v>1</v>
      </c>
      <c r="F69" s="8">
        <v>20000</v>
      </c>
      <c r="G69" s="8">
        <f>Table2[[#This Row],[Unit_Price]]*Table2[[#This Row],[Quantity Sold]]</f>
        <v>20000</v>
      </c>
    </row>
    <row r="70" spans="1:7" x14ac:dyDescent="0.3">
      <c r="A70" t="s">
        <v>160</v>
      </c>
      <c r="B70" t="s">
        <v>161</v>
      </c>
      <c r="C70" t="s">
        <v>152</v>
      </c>
      <c r="D70">
        <v>1</v>
      </c>
      <c r="E70" t="s">
        <v>115</v>
      </c>
      <c r="F70" s="8">
        <v>15000</v>
      </c>
      <c r="G70" s="8">
        <f>Table2[[#This Row],[Unit_Price]]*Table2[[#This Row],[Quantity Sold]]</f>
        <v>15000</v>
      </c>
    </row>
    <row r="71" spans="1:7" x14ac:dyDescent="0.3">
      <c r="C71" t="s">
        <v>40</v>
      </c>
      <c r="D71">
        <v>1</v>
      </c>
      <c r="E71" t="s">
        <v>115</v>
      </c>
      <c r="F71" s="8">
        <v>15000</v>
      </c>
      <c r="G71" s="8">
        <f>Table2[[#This Row],[Unit_Price]]*Table2[[#This Row],[Quantity Sold]]</f>
        <v>15000</v>
      </c>
    </row>
    <row r="72" spans="1:7" x14ac:dyDescent="0.3">
      <c r="C72" t="s">
        <v>28</v>
      </c>
      <c r="D72">
        <v>1</v>
      </c>
      <c r="E72" t="s">
        <v>115</v>
      </c>
      <c r="F72" s="8">
        <v>15000</v>
      </c>
      <c r="G72" s="8">
        <f>Table2[[#This Row],[Unit_Price]]*Table2[[#This Row],[Quantity Sold]]</f>
        <v>15000</v>
      </c>
    </row>
    <row r="73" spans="1:7" x14ac:dyDescent="0.3">
      <c r="C73" t="s">
        <v>94</v>
      </c>
      <c r="D73">
        <v>1</v>
      </c>
      <c r="E73" t="s">
        <v>115</v>
      </c>
      <c r="F73" s="8">
        <v>15000</v>
      </c>
      <c r="G73" s="8">
        <f>Table2[[#This Row],[Unit_Price]]*Table2[[#This Row],[Quantity Sold]]</f>
        <v>15000</v>
      </c>
    </row>
    <row r="74" spans="1:7" x14ac:dyDescent="0.3">
      <c r="A74" t="s">
        <v>162</v>
      </c>
      <c r="B74" t="s">
        <v>163</v>
      </c>
      <c r="C74" t="s">
        <v>48</v>
      </c>
      <c r="D74">
        <v>1</v>
      </c>
      <c r="E74" t="s">
        <v>115</v>
      </c>
      <c r="F74" s="8">
        <v>22500</v>
      </c>
      <c r="G74" s="8">
        <f>Table2[[#This Row],[Unit_Price]]*Table2[[#This Row],[Quantity Sold]]</f>
        <v>22500</v>
      </c>
    </row>
    <row r="75" spans="1:7" x14ac:dyDescent="0.3">
      <c r="A75" t="s">
        <v>164</v>
      </c>
      <c r="B75" t="s">
        <v>165</v>
      </c>
      <c r="D75">
        <v>2</v>
      </c>
      <c r="E75" t="s">
        <v>166</v>
      </c>
      <c r="F75" s="8">
        <v>22500</v>
      </c>
      <c r="G75" s="8">
        <f>Table2[[#This Row],[Unit_Price]]*Table2[[#This Row],[Quantity Sold]]</f>
        <v>45000</v>
      </c>
    </row>
    <row r="76" spans="1:7" x14ac:dyDescent="0.3">
      <c r="A76" t="s">
        <v>167</v>
      </c>
      <c r="B76" t="s">
        <v>168</v>
      </c>
      <c r="D76">
        <v>2</v>
      </c>
      <c r="E76" t="s">
        <v>169</v>
      </c>
      <c r="F76" s="8">
        <v>12500</v>
      </c>
      <c r="G76" s="8">
        <f>Table2[[#This Row],[Unit_Price]]*Table2[[#This Row],[Quantity Sold]]</f>
        <v>25000</v>
      </c>
    </row>
    <row r="77" spans="1:7" x14ac:dyDescent="0.3">
      <c r="A77" t="s">
        <v>170</v>
      </c>
      <c r="B77" t="s">
        <v>171</v>
      </c>
      <c r="C77" t="s">
        <v>94</v>
      </c>
      <c r="D77">
        <v>5</v>
      </c>
      <c r="E77" t="s">
        <v>172</v>
      </c>
      <c r="F77" s="8">
        <v>22500</v>
      </c>
      <c r="G77" s="8">
        <f>Table2[[#This Row],[Unit_Price]]*Table2[[#This Row],[Quantity Sold]]</f>
        <v>112500</v>
      </c>
    </row>
    <row r="78" spans="1:7" x14ac:dyDescent="0.3">
      <c r="A78" t="s">
        <v>174</v>
      </c>
      <c r="B78" t="s">
        <v>173</v>
      </c>
      <c r="C78" t="s">
        <v>175</v>
      </c>
      <c r="D78">
        <v>1</v>
      </c>
      <c r="E78" t="s">
        <v>176</v>
      </c>
      <c r="G78" s="8">
        <f>Table2[[#This Row],[Unit_Price]]*Table2[[#This Row],[Quantity Sold]]</f>
        <v>0</v>
      </c>
    </row>
    <row r="79" spans="1:7" x14ac:dyDescent="0.3">
      <c r="C79" t="s">
        <v>152</v>
      </c>
      <c r="D79">
        <v>1</v>
      </c>
      <c r="E79" t="s">
        <v>176</v>
      </c>
      <c r="G79" s="8">
        <f>Table2[[#This Row],[Unit_Price]]*Table2[[#This Row],[Quantity Sold]]</f>
        <v>0</v>
      </c>
    </row>
    <row r="80" spans="1:7" x14ac:dyDescent="0.3">
      <c r="A80" t="s">
        <v>177</v>
      </c>
      <c r="B80" t="s">
        <v>178</v>
      </c>
      <c r="C80" t="s">
        <v>48</v>
      </c>
      <c r="D80">
        <v>1</v>
      </c>
      <c r="E80" t="s">
        <v>115</v>
      </c>
      <c r="F80" s="8">
        <v>22500</v>
      </c>
      <c r="G80" s="8">
        <f>Table2[[#This Row],[Unit_Price]]*Table2[[#This Row],[Quantity Sold]]</f>
        <v>22500</v>
      </c>
    </row>
    <row r="81" spans="1:7" x14ac:dyDescent="0.3">
      <c r="C81" t="s">
        <v>152</v>
      </c>
      <c r="D81">
        <v>3</v>
      </c>
      <c r="E81" t="s">
        <v>179</v>
      </c>
      <c r="F81" s="8">
        <v>22500</v>
      </c>
      <c r="G81" s="8">
        <f>Table2[[#This Row],[Unit_Price]]*Table2[[#This Row],[Quantity Sold]]</f>
        <v>67500</v>
      </c>
    </row>
    <row r="82" spans="1:7" x14ac:dyDescent="0.3">
      <c r="A82" t="s">
        <v>180</v>
      </c>
      <c r="B82" t="s">
        <v>181</v>
      </c>
      <c r="C82" t="s">
        <v>182</v>
      </c>
      <c r="D82">
        <v>1</v>
      </c>
      <c r="E82" t="s">
        <v>183</v>
      </c>
      <c r="F82" s="8">
        <v>20000</v>
      </c>
      <c r="G82" s="8">
        <f>Table2[[#This Row],[Unit_Price]]*Table2[[#This Row],[Quantity Sold]]</f>
        <v>20000</v>
      </c>
    </row>
    <row r="83" spans="1:7" x14ac:dyDescent="0.3">
      <c r="A83" t="s">
        <v>184</v>
      </c>
      <c r="B83" t="s">
        <v>185</v>
      </c>
      <c r="D83">
        <v>3</v>
      </c>
      <c r="E83" t="s">
        <v>186</v>
      </c>
      <c r="F83" s="8">
        <v>20000</v>
      </c>
      <c r="G83" s="8">
        <f>Table2[[#This Row],[Unit_Price]]*Table2[[#This Row],[Quantity Sold]]</f>
        <v>60000</v>
      </c>
    </row>
    <row r="84" spans="1:7" x14ac:dyDescent="0.3">
      <c r="A84" t="s">
        <v>187</v>
      </c>
      <c r="B84" t="s">
        <v>188</v>
      </c>
      <c r="D84">
        <v>2</v>
      </c>
      <c r="E84" t="s">
        <v>189</v>
      </c>
      <c r="F84" s="8">
        <v>20000</v>
      </c>
      <c r="G84" s="8">
        <f>Table2[[#This Row],[Unit_Price]]*Table2[[#This Row],[Quantity Sold]]</f>
        <v>40000</v>
      </c>
    </row>
    <row r="85" spans="1:7" x14ac:dyDescent="0.3">
      <c r="A85" t="s">
        <v>190</v>
      </c>
      <c r="B85" t="s">
        <v>191</v>
      </c>
      <c r="C85" t="s">
        <v>192</v>
      </c>
      <c r="D85">
        <v>1</v>
      </c>
      <c r="E85" t="s">
        <v>143</v>
      </c>
      <c r="F85" s="8">
        <v>6000</v>
      </c>
      <c r="G85" s="8">
        <f>Table2[[#This Row],[Unit_Price]]*Table2[[#This Row],[Quantity Sold]]</f>
        <v>6000</v>
      </c>
    </row>
    <row r="86" spans="1:7" x14ac:dyDescent="0.3">
      <c r="B86" t="s">
        <v>193</v>
      </c>
      <c r="C86" t="s">
        <v>28</v>
      </c>
      <c r="D86">
        <v>2</v>
      </c>
      <c r="E86" t="s">
        <v>206</v>
      </c>
      <c r="F86" s="8">
        <v>6000</v>
      </c>
      <c r="G86" s="8">
        <f>Table2[[#This Row],[Unit_Price]]*Table2[[#This Row],[Quantity Sold]]</f>
        <v>12000</v>
      </c>
    </row>
    <row r="87" spans="1:7" x14ac:dyDescent="0.3">
      <c r="B87" t="s">
        <v>191</v>
      </c>
      <c r="C87" t="s">
        <v>39</v>
      </c>
      <c r="D87">
        <v>2</v>
      </c>
      <c r="E87" t="s">
        <v>207</v>
      </c>
      <c r="F87" s="8">
        <v>6000</v>
      </c>
      <c r="G87" s="8">
        <f>Table2[[#This Row],[Unit_Price]]*Table2[[#This Row],[Quantity Sold]]</f>
        <v>12000</v>
      </c>
    </row>
    <row r="88" spans="1:7" x14ac:dyDescent="0.3">
      <c r="A88" t="s">
        <v>194</v>
      </c>
      <c r="B88" t="s">
        <v>195</v>
      </c>
      <c r="C88" t="s">
        <v>94</v>
      </c>
      <c r="D88">
        <v>1</v>
      </c>
      <c r="E88" t="s">
        <v>196</v>
      </c>
      <c r="F88" s="8">
        <v>9000</v>
      </c>
      <c r="G88" s="8">
        <f>Table2[[#This Row],[Unit_Price]]*Table2[[#This Row],[Quantity Sold]]</f>
        <v>9000</v>
      </c>
    </row>
    <row r="89" spans="1:7" x14ac:dyDescent="0.3">
      <c r="C89" t="s">
        <v>48</v>
      </c>
      <c r="D89">
        <v>1</v>
      </c>
      <c r="E89" t="s">
        <v>197</v>
      </c>
      <c r="F89" s="8">
        <v>9000</v>
      </c>
      <c r="G89" s="8">
        <f>Table2[[#This Row],[Unit_Price]]*Table2[[#This Row],[Quantity Sold]]</f>
        <v>9000</v>
      </c>
    </row>
    <row r="90" spans="1:7" x14ac:dyDescent="0.3">
      <c r="C90" t="s">
        <v>105</v>
      </c>
      <c r="D90">
        <v>1</v>
      </c>
      <c r="E90" t="s">
        <v>196</v>
      </c>
      <c r="F90" s="8">
        <v>9000</v>
      </c>
      <c r="G90" s="8">
        <f>Table2[[#This Row],[Unit_Price]]*Table2[[#This Row],[Quantity Sold]]</f>
        <v>9000</v>
      </c>
    </row>
    <row r="91" spans="1:7" x14ac:dyDescent="0.3">
      <c r="C91" t="s">
        <v>14</v>
      </c>
      <c r="D91">
        <v>1</v>
      </c>
      <c r="E91" t="s">
        <v>196</v>
      </c>
      <c r="F91" s="8">
        <v>9000</v>
      </c>
      <c r="G91" s="8">
        <f>Table2[[#This Row],[Unit_Price]]*Table2[[#This Row],[Quantity Sold]]</f>
        <v>9000</v>
      </c>
    </row>
    <row r="92" spans="1:7" x14ac:dyDescent="0.3">
      <c r="A92" t="s">
        <v>202</v>
      </c>
      <c r="B92" t="s">
        <v>198</v>
      </c>
      <c r="D92">
        <v>1</v>
      </c>
      <c r="E92" t="s">
        <v>143</v>
      </c>
      <c r="F92" s="8">
        <v>10500</v>
      </c>
      <c r="G92" s="8">
        <f>Table2[[#This Row],[Unit_Price]]*Table2[[#This Row],[Quantity Sold]]</f>
        <v>10500</v>
      </c>
    </row>
    <row r="93" spans="1:7" x14ac:dyDescent="0.3">
      <c r="A93" t="s">
        <v>199</v>
      </c>
      <c r="B93" t="s">
        <v>200</v>
      </c>
      <c r="C93" t="s">
        <v>13</v>
      </c>
      <c r="D93">
        <v>1</v>
      </c>
      <c r="E93" t="s">
        <v>196</v>
      </c>
      <c r="F93" s="8">
        <v>9000</v>
      </c>
      <c r="G93" s="8">
        <f>Table2[[#This Row],[Unit_Price]]*Table2[[#This Row],[Quantity Sold]]</f>
        <v>9000</v>
      </c>
    </row>
    <row r="94" spans="1:7" x14ac:dyDescent="0.3">
      <c r="C94" t="s">
        <v>201</v>
      </c>
      <c r="D94">
        <v>1</v>
      </c>
      <c r="E94" t="s">
        <v>196</v>
      </c>
      <c r="F94" s="8">
        <v>9000</v>
      </c>
      <c r="G94" s="8">
        <f>Table2[[#This Row],[Unit_Price]]*Table2[[#This Row],[Quantity Sold]]</f>
        <v>9000</v>
      </c>
    </row>
    <row r="95" spans="1:7" x14ac:dyDescent="0.3">
      <c r="C95" t="s">
        <v>14</v>
      </c>
      <c r="D95">
        <v>1</v>
      </c>
      <c r="E95" t="s">
        <v>196</v>
      </c>
      <c r="F95" s="8">
        <v>9000</v>
      </c>
      <c r="G95" s="8">
        <f>Table2[[#This Row],[Unit_Price]]*Table2[[#This Row],[Quantity Sold]]</f>
        <v>9000</v>
      </c>
    </row>
    <row r="96" spans="1:7" x14ac:dyDescent="0.3">
      <c r="C96" t="s">
        <v>94</v>
      </c>
      <c r="D96">
        <v>1</v>
      </c>
      <c r="E96" t="s">
        <v>196</v>
      </c>
      <c r="F96" s="8">
        <v>9000</v>
      </c>
      <c r="G96" s="8">
        <f>Table2[[#This Row],[Unit_Price]]*Table2[[#This Row],[Quantity Sold]]</f>
        <v>9000</v>
      </c>
    </row>
    <row r="97" spans="1:7" x14ac:dyDescent="0.3">
      <c r="A97" t="s">
        <v>203</v>
      </c>
      <c r="B97" t="s">
        <v>204</v>
      </c>
      <c r="C97" t="s">
        <v>205</v>
      </c>
      <c r="D97">
        <v>1</v>
      </c>
      <c r="E97" t="s">
        <v>98</v>
      </c>
      <c r="F97" s="8">
        <v>7500</v>
      </c>
      <c r="G97" s="8">
        <f>Table2[[#This Row],[Unit_Price]]*Table2[[#This Row],[Quantity Sold]]</f>
        <v>7500</v>
      </c>
    </row>
    <row r="98" spans="1:7" x14ac:dyDescent="0.3">
      <c r="C98" t="s">
        <v>31</v>
      </c>
      <c r="D98">
        <v>2</v>
      </c>
      <c r="E98" t="s">
        <v>206</v>
      </c>
      <c r="F98" s="8">
        <v>7500</v>
      </c>
      <c r="G98" s="8">
        <f>Table2[[#This Row],[Unit_Price]]*Table2[[#This Row],[Quantity Sold]]</f>
        <v>15000</v>
      </c>
    </row>
    <row r="99" spans="1:7" x14ac:dyDescent="0.3">
      <c r="C99" t="s">
        <v>208</v>
      </c>
      <c r="D99">
        <v>6</v>
      </c>
      <c r="F99" s="8">
        <v>7500</v>
      </c>
      <c r="G99" s="8">
        <f>Table2[[#This Row],[Unit_Price]]*Table2[[#This Row],[Quantity Sold]]</f>
        <v>45000</v>
      </c>
    </row>
    <row r="100" spans="1:7" x14ac:dyDescent="0.3">
      <c r="A100" t="s">
        <v>209</v>
      </c>
      <c r="B100" t="s">
        <v>210</v>
      </c>
      <c r="C100" t="s">
        <v>211</v>
      </c>
      <c r="D100">
        <v>1</v>
      </c>
      <c r="F100" s="8">
        <v>10000</v>
      </c>
      <c r="G100" s="8">
        <f>Table2[[#This Row],[Unit_Price]]*Table2[[#This Row],[Quantity Sold]]</f>
        <v>10000</v>
      </c>
    </row>
    <row r="101" spans="1:7" x14ac:dyDescent="0.3">
      <c r="C101" t="s">
        <v>31</v>
      </c>
      <c r="D101">
        <v>1</v>
      </c>
      <c r="F101" s="8">
        <v>10000</v>
      </c>
      <c r="G101" s="8">
        <f>Table2[[#This Row],[Unit_Price]]*Table2[[#This Row],[Quantity Sold]]</f>
        <v>10000</v>
      </c>
    </row>
    <row r="102" spans="1:7" x14ac:dyDescent="0.3">
      <c r="C102" t="s">
        <v>2</v>
      </c>
      <c r="D102">
        <v>1</v>
      </c>
      <c r="F102" s="8">
        <v>10000</v>
      </c>
      <c r="G102" s="8">
        <f>Table2[[#This Row],[Unit_Price]]*Table2[[#This Row],[Quantity Sold]]</f>
        <v>10000</v>
      </c>
    </row>
    <row r="103" spans="1:7" x14ac:dyDescent="0.3">
      <c r="C103" t="s">
        <v>104</v>
      </c>
      <c r="D103">
        <v>1</v>
      </c>
      <c r="F103" s="8">
        <v>10000</v>
      </c>
      <c r="G103" s="8">
        <f>Table2[[#This Row],[Unit_Price]]*Table2[[#This Row],[Quantity Sold]]</f>
        <v>10000</v>
      </c>
    </row>
    <row r="104" spans="1:7" x14ac:dyDescent="0.3">
      <c r="A104" t="s">
        <v>212</v>
      </c>
      <c r="B104" t="s">
        <v>213</v>
      </c>
      <c r="D104">
        <v>1</v>
      </c>
      <c r="E104" t="s">
        <v>60</v>
      </c>
      <c r="F104" s="8">
        <v>30000</v>
      </c>
      <c r="G104" s="8">
        <f>Table2[[#This Row],[Unit_Price]]*Table2[[#This Row],[Quantity Sold]]</f>
        <v>30000</v>
      </c>
    </row>
    <row r="105" spans="1:7" x14ac:dyDescent="0.3">
      <c r="A105" t="s">
        <v>214</v>
      </c>
      <c r="B105" t="s">
        <v>215</v>
      </c>
      <c r="C105" t="s">
        <v>216</v>
      </c>
      <c r="D105">
        <v>1</v>
      </c>
      <c r="E105" t="s">
        <v>58</v>
      </c>
      <c r="F105" s="8">
        <v>25000</v>
      </c>
      <c r="G105" s="8">
        <f>Table2[[#This Row],[Unit_Price]]*Table2[[#This Row],[Quantity Sold]]</f>
        <v>25000</v>
      </c>
    </row>
    <row r="106" spans="1:7" x14ac:dyDescent="0.3">
      <c r="C106" t="s">
        <v>38</v>
      </c>
      <c r="D106">
        <v>2</v>
      </c>
      <c r="E106" t="s">
        <v>62</v>
      </c>
      <c r="F106" s="8">
        <v>25000</v>
      </c>
      <c r="G106" s="8">
        <f>Table2[[#This Row],[Unit_Price]]*Table2[[#This Row],[Quantity Sold]]</f>
        <v>50000</v>
      </c>
    </row>
    <row r="107" spans="1:7" x14ac:dyDescent="0.3">
      <c r="C107" t="s">
        <v>94</v>
      </c>
      <c r="D107">
        <v>1</v>
      </c>
      <c r="E107" t="s">
        <v>143</v>
      </c>
      <c r="F107" s="8">
        <v>25000</v>
      </c>
      <c r="G107" s="8">
        <f>Table2[[#This Row],[Unit_Price]]*Table2[[#This Row],[Quantity Sold]]</f>
        <v>25000</v>
      </c>
    </row>
    <row r="108" spans="1:7" x14ac:dyDescent="0.3">
      <c r="A108" t="s">
        <v>217</v>
      </c>
      <c r="B108" t="s">
        <v>218</v>
      </c>
      <c r="C108" t="s">
        <v>152</v>
      </c>
      <c r="D108">
        <v>1</v>
      </c>
      <c r="F108" s="8">
        <v>30000</v>
      </c>
      <c r="G108" s="8">
        <f>Table2[[#This Row],[Unit_Price]]*Table2[[#This Row],[Quantity Sold]]</f>
        <v>30000</v>
      </c>
    </row>
    <row r="109" spans="1:7" x14ac:dyDescent="0.3">
      <c r="C109" t="s">
        <v>104</v>
      </c>
      <c r="D109">
        <v>1</v>
      </c>
      <c r="F109" s="8">
        <v>30000</v>
      </c>
      <c r="G109" s="8">
        <f>Table2[[#This Row],[Unit_Price]]*Table2[[#This Row],[Quantity Sold]]</f>
        <v>30000</v>
      </c>
    </row>
    <row r="110" spans="1:7" x14ac:dyDescent="0.3">
      <c r="C110" t="s">
        <v>13</v>
      </c>
      <c r="D110">
        <v>1</v>
      </c>
      <c r="F110" s="8">
        <v>30000</v>
      </c>
      <c r="G110" s="8">
        <f>Table2[[#This Row],[Unit_Price]]*Table2[[#This Row],[Quantity Sold]]</f>
        <v>30000</v>
      </c>
    </row>
    <row r="111" spans="1:7" x14ac:dyDescent="0.3">
      <c r="A111" t="s">
        <v>219</v>
      </c>
      <c r="B111" t="s">
        <v>220</v>
      </c>
      <c r="D111">
        <v>2</v>
      </c>
      <c r="E111" t="s">
        <v>221</v>
      </c>
      <c r="F111" s="8">
        <v>30000</v>
      </c>
      <c r="G111" s="8">
        <f>Table2[[#This Row],[Unit_Price]]*Table2[[#This Row],[Quantity Sold]]</f>
        <v>60000</v>
      </c>
    </row>
    <row r="112" spans="1:7" x14ac:dyDescent="0.3">
      <c r="A112" t="s">
        <v>222</v>
      </c>
      <c r="B112" t="s">
        <v>223</v>
      </c>
      <c r="C112" t="s">
        <v>14</v>
      </c>
      <c r="D112">
        <v>1</v>
      </c>
      <c r="F112" s="8">
        <v>30000</v>
      </c>
      <c r="G112" s="8">
        <f>Table2[[#This Row],[Unit_Price]]*Table2[[#This Row],[Quantity Sold]]</f>
        <v>30000</v>
      </c>
    </row>
    <row r="113" spans="1:7" x14ac:dyDescent="0.3">
      <c r="C113" t="s">
        <v>224</v>
      </c>
      <c r="D113">
        <v>1</v>
      </c>
      <c r="F113" s="8">
        <v>30000</v>
      </c>
      <c r="G113" s="8">
        <f>Table2[[#This Row],[Unit_Price]]*Table2[[#This Row],[Quantity Sold]]</f>
        <v>30000</v>
      </c>
    </row>
    <row r="114" spans="1:7" x14ac:dyDescent="0.3">
      <c r="A114" t="s">
        <v>225</v>
      </c>
      <c r="B114" t="s">
        <v>226</v>
      </c>
      <c r="C114" t="s">
        <v>2</v>
      </c>
      <c r="D114">
        <v>1</v>
      </c>
      <c r="F114" s="8">
        <v>30000</v>
      </c>
      <c r="G114" s="8">
        <f>Table2[[#This Row],[Unit_Price]]*Table2[[#This Row],[Quantity Sold]]</f>
        <v>30000</v>
      </c>
    </row>
    <row r="115" spans="1:7" x14ac:dyDescent="0.3">
      <c r="C115" t="s">
        <v>94</v>
      </c>
      <c r="D115">
        <v>1</v>
      </c>
      <c r="F115" s="8">
        <v>30000</v>
      </c>
      <c r="G115" s="8">
        <f>Table2[[#This Row],[Unit_Price]]*Table2[[#This Row],[Quantity Sold]]</f>
        <v>30000</v>
      </c>
    </row>
    <row r="116" spans="1:7" x14ac:dyDescent="0.3">
      <c r="C116" t="s">
        <v>103</v>
      </c>
      <c r="D116">
        <v>1</v>
      </c>
      <c r="F116" s="8">
        <v>30000</v>
      </c>
      <c r="G116" s="8">
        <f>Table2[[#This Row],[Unit_Price]]*Table2[[#This Row],[Quantity Sold]]</f>
        <v>30000</v>
      </c>
    </row>
    <row r="117" spans="1:7" x14ac:dyDescent="0.3">
      <c r="C117" t="s">
        <v>14</v>
      </c>
      <c r="D117">
        <v>1</v>
      </c>
      <c r="F117" s="8">
        <v>30000</v>
      </c>
      <c r="G117" s="8">
        <f>Table2[[#This Row],[Unit_Price]]*Table2[[#This Row],[Quantity Sold]]</f>
        <v>30000</v>
      </c>
    </row>
    <row r="118" spans="1:7" x14ac:dyDescent="0.3">
      <c r="A118" t="s">
        <v>227</v>
      </c>
      <c r="B118" t="s">
        <v>228</v>
      </c>
      <c r="C118" t="s">
        <v>104</v>
      </c>
      <c r="D118">
        <v>2</v>
      </c>
      <c r="E118" t="s">
        <v>229</v>
      </c>
      <c r="F118" s="8">
        <v>30000</v>
      </c>
      <c r="G118" s="8">
        <f>Table2[[#This Row],[Unit_Price]]*Table2[[#This Row],[Quantity Sold]]</f>
        <v>60000</v>
      </c>
    </row>
    <row r="119" spans="1:7" x14ac:dyDescent="0.3">
      <c r="A119" t="s">
        <v>230</v>
      </c>
      <c r="B119" t="s">
        <v>231</v>
      </c>
      <c r="C119" t="s">
        <v>48</v>
      </c>
      <c r="D119">
        <v>1</v>
      </c>
      <c r="F119" s="8">
        <v>30000</v>
      </c>
      <c r="G119" s="8">
        <f>Table2[[#This Row],[Unit_Price]]*Table2[[#This Row],[Quantity Sold]]</f>
        <v>30000</v>
      </c>
    </row>
    <row r="120" spans="1:7" x14ac:dyDescent="0.3">
      <c r="C120" t="s">
        <v>43</v>
      </c>
      <c r="D120">
        <v>1</v>
      </c>
      <c r="F120" s="8">
        <v>30000</v>
      </c>
      <c r="G120" s="8">
        <f>Table2[[#This Row],[Unit_Price]]*Table2[[#This Row],[Quantity Sold]]</f>
        <v>30000</v>
      </c>
    </row>
    <row r="121" spans="1:7" x14ac:dyDescent="0.3">
      <c r="C121" t="s">
        <v>103</v>
      </c>
      <c r="D121">
        <v>1</v>
      </c>
      <c r="F121" s="8">
        <v>30000</v>
      </c>
      <c r="G121" s="8">
        <f>Table2[[#This Row],[Unit_Price]]*Table2[[#This Row],[Quantity Sold]]</f>
        <v>30000</v>
      </c>
    </row>
    <row r="122" spans="1:7" x14ac:dyDescent="0.3">
      <c r="A122" t="s">
        <v>232</v>
      </c>
      <c r="B122" t="s">
        <v>233</v>
      </c>
      <c r="C122" t="s">
        <v>38</v>
      </c>
      <c r="D122">
        <v>1</v>
      </c>
      <c r="F122" s="8">
        <v>30000</v>
      </c>
      <c r="G122" s="8">
        <f>Table2[[#This Row],[Unit_Price]]*Table2[[#This Row],[Quantity Sold]]</f>
        <v>30000</v>
      </c>
    </row>
    <row r="123" spans="1:7" x14ac:dyDescent="0.3">
      <c r="A123" t="s">
        <v>234</v>
      </c>
      <c r="B123" t="s">
        <v>235</v>
      </c>
      <c r="C123" t="s">
        <v>104</v>
      </c>
      <c r="D123">
        <v>1</v>
      </c>
      <c r="F123" s="8">
        <v>30000</v>
      </c>
      <c r="G123" s="8">
        <f>Table2[[#This Row],[Unit_Price]]*Table2[[#This Row],[Quantity Sold]]</f>
        <v>30000</v>
      </c>
    </row>
    <row r="124" spans="1:7" x14ac:dyDescent="0.3">
      <c r="C124" t="s">
        <v>38</v>
      </c>
      <c r="D124">
        <v>1</v>
      </c>
      <c r="F124" s="8">
        <v>30000</v>
      </c>
      <c r="G124" s="8">
        <f>Table2[[#This Row],[Unit_Price]]*Table2[[#This Row],[Quantity Sold]]</f>
        <v>30000</v>
      </c>
    </row>
    <row r="125" spans="1:7" x14ac:dyDescent="0.3">
      <c r="A125" t="s">
        <v>236</v>
      </c>
      <c r="B125" t="s">
        <v>237</v>
      </c>
      <c r="C125" t="s">
        <v>104</v>
      </c>
      <c r="D125">
        <v>1</v>
      </c>
      <c r="F125" s="8">
        <v>30000</v>
      </c>
      <c r="G125" s="8">
        <f>Table2[[#This Row],[Unit_Price]]*Table2[[#This Row],[Quantity Sold]]</f>
        <v>30000</v>
      </c>
    </row>
    <row r="126" spans="1:7" x14ac:dyDescent="0.3">
      <c r="C126" t="s">
        <v>94</v>
      </c>
      <c r="D126">
        <v>1</v>
      </c>
      <c r="F126" s="8">
        <v>30000</v>
      </c>
      <c r="G126" s="8">
        <f>Table2[[#This Row],[Unit_Price]]*Table2[[#This Row],[Quantity Sold]]</f>
        <v>30000</v>
      </c>
    </row>
    <row r="127" spans="1:7" x14ac:dyDescent="0.3">
      <c r="A127" t="s">
        <v>238</v>
      </c>
      <c r="B127" t="s">
        <v>239</v>
      </c>
      <c r="C127" t="s">
        <v>104</v>
      </c>
      <c r="D127">
        <v>1</v>
      </c>
      <c r="F127" s="8">
        <v>30000</v>
      </c>
      <c r="G127" s="8">
        <f>Table2[[#This Row],[Unit_Price]]*Table2[[#This Row],[Quantity Sold]]</f>
        <v>30000</v>
      </c>
    </row>
    <row r="128" spans="1:7" x14ac:dyDescent="0.3">
      <c r="C128" t="s">
        <v>94</v>
      </c>
      <c r="D128">
        <v>1</v>
      </c>
      <c r="F128" s="8">
        <v>30000</v>
      </c>
      <c r="G128" s="8">
        <f>Table2[[#This Row],[Unit_Price]]*Table2[[#This Row],[Quantity Sold]]</f>
        <v>30000</v>
      </c>
    </row>
    <row r="129" spans="1:7" x14ac:dyDescent="0.3">
      <c r="C129" t="s">
        <v>105</v>
      </c>
      <c r="D129">
        <v>1</v>
      </c>
      <c r="F129" s="8">
        <v>30000</v>
      </c>
      <c r="G129" s="8">
        <f>Table2[[#This Row],[Unit_Price]]*Table2[[#This Row],[Quantity Sold]]</f>
        <v>30000</v>
      </c>
    </row>
    <row r="130" spans="1:7" x14ac:dyDescent="0.3">
      <c r="C130" t="s">
        <v>38</v>
      </c>
      <c r="D130">
        <v>1</v>
      </c>
      <c r="F130" s="8">
        <v>30000</v>
      </c>
      <c r="G130" s="8">
        <f>Table2[[#This Row],[Unit_Price]]*Table2[[#This Row],[Quantity Sold]]</f>
        <v>30000</v>
      </c>
    </row>
    <row r="131" spans="1:7" x14ac:dyDescent="0.3">
      <c r="C131" t="s">
        <v>14</v>
      </c>
      <c r="D131">
        <v>1</v>
      </c>
      <c r="F131" s="8">
        <v>30000</v>
      </c>
      <c r="G131" s="8">
        <f>Table2[[#This Row],[Unit_Price]]*Table2[[#This Row],[Quantity Sold]]</f>
        <v>30000</v>
      </c>
    </row>
    <row r="132" spans="1:7" x14ac:dyDescent="0.3">
      <c r="A132" t="s">
        <v>241</v>
      </c>
      <c r="B132" t="s">
        <v>242</v>
      </c>
      <c r="C132" t="s">
        <v>38</v>
      </c>
      <c r="D132">
        <v>3</v>
      </c>
      <c r="E132" t="s">
        <v>243</v>
      </c>
      <c r="F132" s="8">
        <v>30000</v>
      </c>
      <c r="G132" s="8">
        <f>Table2[[#This Row],[Unit_Price]]*Table2[[#This Row],[Quantity Sold]]</f>
        <v>90000</v>
      </c>
    </row>
    <row r="133" spans="1:7" x14ac:dyDescent="0.3">
      <c r="C133" t="s">
        <v>104</v>
      </c>
      <c r="D133">
        <v>4</v>
      </c>
      <c r="E133" t="s">
        <v>244</v>
      </c>
      <c r="F133" s="8">
        <v>30000</v>
      </c>
      <c r="G133" s="8">
        <f>Table2[[#This Row],[Unit_Price]]*Table2[[#This Row],[Quantity Sold]]</f>
        <v>120000</v>
      </c>
    </row>
    <row r="134" spans="1:7" x14ac:dyDescent="0.3">
      <c r="A134" t="s">
        <v>245</v>
      </c>
      <c r="B134" t="s">
        <v>246</v>
      </c>
      <c r="C134" t="s">
        <v>247</v>
      </c>
      <c r="D134">
        <v>7</v>
      </c>
      <c r="E134" t="s">
        <v>248</v>
      </c>
      <c r="F134" s="8">
        <v>20000</v>
      </c>
      <c r="G134" s="8">
        <f>Table2[[#This Row],[Unit_Price]]*Table2[[#This Row],[Quantity Sold]]</f>
        <v>140000</v>
      </c>
    </row>
    <row r="135" spans="1:7" x14ac:dyDescent="0.3">
      <c r="A135" t="s">
        <v>249</v>
      </c>
      <c r="B135" t="s">
        <v>250</v>
      </c>
      <c r="D135">
        <v>1</v>
      </c>
      <c r="F135" s="8">
        <v>35000</v>
      </c>
      <c r="G135" s="8">
        <f>Table2[[#This Row],[Unit_Price]]*Table2[[#This Row],[Quantity Sold]]</f>
        <v>35000</v>
      </c>
    </row>
    <row r="136" spans="1:7" x14ac:dyDescent="0.3">
      <c r="A136" t="s">
        <v>251</v>
      </c>
      <c r="B136" t="s">
        <v>252</v>
      </c>
      <c r="D136">
        <v>2</v>
      </c>
      <c r="F136" s="8">
        <v>20000</v>
      </c>
      <c r="G136" s="8">
        <f>Table2[[#This Row],[Unit_Price]]*Table2[[#This Row],[Quantity Sold]]</f>
        <v>40000</v>
      </c>
    </row>
    <row r="137" spans="1:7" x14ac:dyDescent="0.3">
      <c r="A137" t="s">
        <v>253</v>
      </c>
      <c r="B137" t="s">
        <v>254</v>
      </c>
      <c r="D137">
        <v>1</v>
      </c>
      <c r="E137" t="s">
        <v>58</v>
      </c>
      <c r="F137" s="8">
        <v>25000</v>
      </c>
      <c r="G137" s="8">
        <f>Table2[[#This Row],[Unit_Price]]*Table2[[#This Row],[Quantity Sold]]</f>
        <v>25000</v>
      </c>
    </row>
    <row r="138" spans="1:7" x14ac:dyDescent="0.3">
      <c r="A138" t="s">
        <v>255</v>
      </c>
      <c r="B138" t="s">
        <v>256</v>
      </c>
      <c r="D138">
        <v>1</v>
      </c>
      <c r="E138" t="s">
        <v>257</v>
      </c>
      <c r="F138" s="8">
        <v>18500</v>
      </c>
      <c r="G138" s="8">
        <f>Table2[[#This Row],[Unit_Price]]*Table2[[#This Row],[Quantity Sold]]</f>
        <v>18500</v>
      </c>
    </row>
    <row r="139" spans="1:7" x14ac:dyDescent="0.3">
      <c r="A139" t="s">
        <v>258</v>
      </c>
      <c r="B139" t="s">
        <v>256</v>
      </c>
      <c r="D139">
        <v>3</v>
      </c>
      <c r="E139" t="s">
        <v>259</v>
      </c>
      <c r="F139" s="8">
        <v>18500</v>
      </c>
      <c r="G139" s="8">
        <f>Table2[[#This Row],[Unit_Price]]*Table2[[#This Row],[Quantity Sold]]</f>
        <v>55500</v>
      </c>
    </row>
    <row r="140" spans="1:7" x14ac:dyDescent="0.3">
      <c r="A140" t="s">
        <v>260</v>
      </c>
      <c r="B140" t="s">
        <v>261</v>
      </c>
      <c r="D140">
        <v>2</v>
      </c>
      <c r="E140" t="s">
        <v>262</v>
      </c>
      <c r="F140" s="8">
        <v>25000</v>
      </c>
      <c r="G140" s="8">
        <f>Table2[[#This Row],[Unit_Price]]*Table2[[#This Row],[Quantity Sold]]</f>
        <v>50000</v>
      </c>
    </row>
    <row r="141" spans="1:7" x14ac:dyDescent="0.3">
      <c r="A141" t="s">
        <v>263</v>
      </c>
      <c r="B141" t="s">
        <v>264</v>
      </c>
      <c r="D141">
        <v>3</v>
      </c>
      <c r="E141" t="s">
        <v>265</v>
      </c>
      <c r="F141" s="8">
        <v>22000</v>
      </c>
      <c r="G141" s="8">
        <f>Table2[[#This Row],[Unit_Price]]*Table2[[#This Row],[Quantity Sold]]</f>
        <v>66000</v>
      </c>
    </row>
    <row r="142" spans="1:7" x14ac:dyDescent="0.3">
      <c r="A142" t="s">
        <v>266</v>
      </c>
      <c r="B142" t="s">
        <v>256</v>
      </c>
      <c r="D142">
        <v>6</v>
      </c>
      <c r="E142" t="s">
        <v>267</v>
      </c>
      <c r="F142" s="8">
        <v>20000</v>
      </c>
      <c r="G142" s="8">
        <f>Table2[[#This Row],[Unit_Price]]*Table2[[#This Row],[Quantity Sold]]</f>
        <v>120000</v>
      </c>
    </row>
    <row r="143" spans="1:7" x14ac:dyDescent="0.3">
      <c r="A143" t="s">
        <v>268</v>
      </c>
      <c r="B143" t="s">
        <v>256</v>
      </c>
      <c r="D143">
        <v>1</v>
      </c>
      <c r="E143" t="s">
        <v>140</v>
      </c>
      <c r="F143" s="8">
        <v>18500</v>
      </c>
      <c r="G143" s="8">
        <f>Table2[[#This Row],[Unit_Price]]*Table2[[#This Row],[Quantity Sold]]</f>
        <v>18500</v>
      </c>
    </row>
    <row r="144" spans="1:7" x14ac:dyDescent="0.3">
      <c r="A144" t="s">
        <v>269</v>
      </c>
      <c r="B144" t="s">
        <v>270</v>
      </c>
      <c r="C144" t="s">
        <v>28</v>
      </c>
      <c r="D144">
        <v>5</v>
      </c>
      <c r="E144" t="s">
        <v>271</v>
      </c>
      <c r="F144" s="8">
        <v>18500</v>
      </c>
      <c r="G144" s="8">
        <f>Table2[[#This Row],[Unit_Price]]*Table2[[#This Row],[Quantity Sold]]</f>
        <v>92500</v>
      </c>
    </row>
    <row r="145" spans="1:7" x14ac:dyDescent="0.3">
      <c r="C145" t="s">
        <v>104</v>
      </c>
      <c r="D145">
        <v>8</v>
      </c>
      <c r="E145" t="s">
        <v>272</v>
      </c>
      <c r="F145" s="8">
        <v>18500</v>
      </c>
      <c r="G145" s="8">
        <f>Table2[[#This Row],[Unit_Price]]*Table2[[#This Row],[Quantity Sold]]</f>
        <v>148000</v>
      </c>
    </row>
    <row r="146" spans="1:7" x14ac:dyDescent="0.3">
      <c r="A146" t="s">
        <v>273</v>
      </c>
      <c r="B146" t="s">
        <v>274</v>
      </c>
      <c r="D146">
        <v>2</v>
      </c>
      <c r="E146" t="s">
        <v>275</v>
      </c>
      <c r="F146" s="8">
        <v>14000</v>
      </c>
      <c r="G146" s="8">
        <f>Table2[[#This Row],[Unit_Price]]*Table2[[#This Row],[Quantity Sold]]</f>
        <v>28000</v>
      </c>
    </row>
    <row r="147" spans="1:7" x14ac:dyDescent="0.3">
      <c r="A147" t="s">
        <v>276</v>
      </c>
      <c r="B147" t="s">
        <v>277</v>
      </c>
      <c r="C147" t="s">
        <v>278</v>
      </c>
      <c r="D147">
        <v>2</v>
      </c>
      <c r="E147" t="s">
        <v>279</v>
      </c>
      <c r="F147" s="8">
        <v>20000</v>
      </c>
      <c r="G147" s="8">
        <f>Table2[[#This Row],[Unit_Price]]*Table2[[#This Row],[Quantity Sold]]</f>
        <v>40000</v>
      </c>
    </row>
    <row r="148" spans="1:7" x14ac:dyDescent="0.3">
      <c r="A148" t="s">
        <v>280</v>
      </c>
      <c r="B148" t="s">
        <v>281</v>
      </c>
      <c r="C148" t="s">
        <v>278</v>
      </c>
      <c r="D148">
        <v>3</v>
      </c>
      <c r="E148" t="s">
        <v>282</v>
      </c>
      <c r="F148" s="8">
        <v>18500</v>
      </c>
      <c r="G148" s="8">
        <f>Table2[[#This Row],[Unit_Price]]*Table2[[#This Row],[Quantity Sold]]</f>
        <v>55500</v>
      </c>
    </row>
    <row r="149" spans="1:7" x14ac:dyDescent="0.3">
      <c r="C149" t="s">
        <v>283</v>
      </c>
      <c r="D149">
        <v>2</v>
      </c>
      <c r="E149" t="s">
        <v>284</v>
      </c>
      <c r="F149" s="8">
        <v>18500</v>
      </c>
      <c r="G149" s="8">
        <f>Table2[[#This Row],[Unit_Price]]*Table2[[#This Row],[Quantity Sold]]</f>
        <v>37000</v>
      </c>
    </row>
    <row r="150" spans="1:7" x14ac:dyDescent="0.3">
      <c r="A150" t="s">
        <v>285</v>
      </c>
      <c r="B150" t="s">
        <v>286</v>
      </c>
      <c r="C150" t="s">
        <v>283</v>
      </c>
      <c r="D150">
        <v>2</v>
      </c>
      <c r="E150" t="s">
        <v>287</v>
      </c>
      <c r="F150" s="8">
        <v>18500</v>
      </c>
      <c r="G150" s="8">
        <f>Table2[[#This Row],[Unit_Price]]*Table2[[#This Row],[Quantity Sold]]</f>
        <v>37000</v>
      </c>
    </row>
    <row r="151" spans="1:7" x14ac:dyDescent="0.3">
      <c r="A151" t="s">
        <v>288</v>
      </c>
      <c r="B151" t="s">
        <v>289</v>
      </c>
      <c r="C151" t="s">
        <v>28</v>
      </c>
      <c r="D151">
        <v>3</v>
      </c>
      <c r="E151" t="s">
        <v>290</v>
      </c>
      <c r="F151" s="8">
        <v>18500</v>
      </c>
      <c r="G151" s="8">
        <f>Table2[[#This Row],[Unit_Price]]*Table2[[#This Row],[Quantity Sold]]</f>
        <v>55500</v>
      </c>
    </row>
    <row r="152" spans="1:7" x14ac:dyDescent="0.3">
      <c r="C152" t="s">
        <v>104</v>
      </c>
      <c r="D152">
        <v>2</v>
      </c>
      <c r="E152" t="s">
        <v>291</v>
      </c>
      <c r="F152" s="8">
        <v>18500</v>
      </c>
      <c r="G152" s="8">
        <f>Table2[[#This Row],[Unit_Price]]*Table2[[#This Row],[Quantity Sold]]</f>
        <v>37000</v>
      </c>
    </row>
    <row r="153" spans="1:7" x14ac:dyDescent="0.3">
      <c r="A153" t="s">
        <v>292</v>
      </c>
      <c r="B153" t="s">
        <v>293</v>
      </c>
      <c r="D153">
        <v>4</v>
      </c>
      <c r="E153" t="s">
        <v>294</v>
      </c>
      <c r="F153" s="8">
        <v>18500</v>
      </c>
      <c r="G153" s="8">
        <f>Table2[[#This Row],[Unit_Price]]*Table2[[#This Row],[Quantity Sold]]</f>
        <v>74000</v>
      </c>
    </row>
    <row r="154" spans="1:7" x14ac:dyDescent="0.3">
      <c r="A154" t="s">
        <v>295</v>
      </c>
      <c r="B154" t="s">
        <v>256</v>
      </c>
      <c r="D154">
        <v>3</v>
      </c>
      <c r="E154" t="s">
        <v>296</v>
      </c>
      <c r="F154" s="8">
        <v>18500</v>
      </c>
      <c r="G154" s="8">
        <f>Table2[[#This Row],[Unit_Price]]*Table2[[#This Row],[Quantity Sold]]</f>
        <v>55500</v>
      </c>
    </row>
    <row r="155" spans="1:7" x14ac:dyDescent="0.3">
      <c r="A155" t="s">
        <v>297</v>
      </c>
      <c r="B155" t="s">
        <v>298</v>
      </c>
      <c r="D155">
        <v>1</v>
      </c>
      <c r="E155" t="s">
        <v>299</v>
      </c>
      <c r="F155" s="8">
        <v>18500</v>
      </c>
      <c r="G155" s="8">
        <f>Table2[[#This Row],[Unit_Price]]*Table2[[#This Row],[Quantity Sold]]</f>
        <v>18500</v>
      </c>
    </row>
    <row r="156" spans="1:7" x14ac:dyDescent="0.3">
      <c r="A156" t="s">
        <v>300</v>
      </c>
      <c r="B156" t="s">
        <v>301</v>
      </c>
      <c r="D156">
        <v>2</v>
      </c>
      <c r="E156" t="s">
        <v>302</v>
      </c>
      <c r="F156" s="8">
        <v>18500</v>
      </c>
      <c r="G156" s="8">
        <f>Table2[[#This Row],[Unit_Price]]*Table2[[#This Row],[Quantity Sold]]</f>
        <v>37000</v>
      </c>
    </row>
    <row r="157" spans="1:7" x14ac:dyDescent="0.3">
      <c r="A157" t="s">
        <v>303</v>
      </c>
      <c r="B157" t="s">
        <v>304</v>
      </c>
      <c r="C157" t="s">
        <v>48</v>
      </c>
      <c r="D157">
        <v>1</v>
      </c>
      <c r="E157" t="s">
        <v>58</v>
      </c>
      <c r="F157" s="8">
        <v>13000</v>
      </c>
      <c r="G157" s="8">
        <f>Table2[[#This Row],[Unit_Price]]*Table2[[#This Row],[Quantity Sold]]</f>
        <v>13000</v>
      </c>
    </row>
    <row r="158" spans="1:7" x14ac:dyDescent="0.3">
      <c r="C158" t="s">
        <v>37</v>
      </c>
      <c r="D158">
        <v>1</v>
      </c>
      <c r="E158" t="s">
        <v>60</v>
      </c>
      <c r="F158" s="8">
        <v>13000</v>
      </c>
      <c r="G158" s="8">
        <f>Table2[[#This Row],[Unit_Price]]*Table2[[#This Row],[Quantity Sold]]</f>
        <v>13000</v>
      </c>
    </row>
    <row r="159" spans="1:7" x14ac:dyDescent="0.3">
      <c r="C159" t="s">
        <v>14</v>
      </c>
      <c r="D159">
        <v>1</v>
      </c>
      <c r="E159" t="s">
        <v>124</v>
      </c>
      <c r="F159" s="8">
        <v>13000</v>
      </c>
      <c r="G159" s="8">
        <f>Table2[[#This Row],[Unit_Price]]*Table2[[#This Row],[Quantity Sold]]</f>
        <v>13000</v>
      </c>
    </row>
    <row r="160" spans="1:7" x14ac:dyDescent="0.3">
      <c r="A160" t="s">
        <v>305</v>
      </c>
      <c r="B160" t="s">
        <v>306</v>
      </c>
      <c r="C160" t="s">
        <v>278</v>
      </c>
      <c r="D160">
        <v>1</v>
      </c>
      <c r="E160" t="s">
        <v>98</v>
      </c>
      <c r="F160" s="8">
        <v>13000</v>
      </c>
      <c r="G160" s="8">
        <f>Table2[[#This Row],[Unit_Price]]*Table2[[#This Row],[Quantity Sold]]</f>
        <v>13000</v>
      </c>
    </row>
    <row r="161" spans="1:7" x14ac:dyDescent="0.3">
      <c r="A161" t="s">
        <v>307</v>
      </c>
      <c r="B161" t="s">
        <v>308</v>
      </c>
      <c r="C161" t="s">
        <v>283</v>
      </c>
      <c r="D161">
        <v>1</v>
      </c>
      <c r="E161" t="s">
        <v>115</v>
      </c>
      <c r="F161" s="8">
        <v>15500</v>
      </c>
      <c r="G161" s="8">
        <f>Table2[[#This Row],[Unit_Price]]*Table2[[#This Row],[Quantity Sold]]</f>
        <v>15500</v>
      </c>
    </row>
    <row r="162" spans="1:7" x14ac:dyDescent="0.3">
      <c r="A162" t="s">
        <v>309</v>
      </c>
      <c r="B162" t="s">
        <v>310</v>
      </c>
      <c r="D162">
        <v>1</v>
      </c>
      <c r="E162" t="s">
        <v>60</v>
      </c>
      <c r="F162" s="8">
        <v>7000</v>
      </c>
      <c r="G162" s="8">
        <f>Table2[[#This Row],[Unit_Price]]*Table2[[#This Row],[Quantity Sold]]</f>
        <v>7000</v>
      </c>
    </row>
    <row r="163" spans="1:7" x14ac:dyDescent="0.3">
      <c r="A163" t="s">
        <v>311</v>
      </c>
      <c r="B163" t="s">
        <v>312</v>
      </c>
      <c r="C163" t="s">
        <v>105</v>
      </c>
      <c r="D163">
        <v>2</v>
      </c>
      <c r="E163" t="s">
        <v>313</v>
      </c>
      <c r="F163" s="8">
        <v>13000</v>
      </c>
      <c r="G163" s="8">
        <f>Table2[[#This Row],[Unit_Price]]*Table2[[#This Row],[Quantity Sold]]</f>
        <v>26000</v>
      </c>
    </row>
    <row r="164" spans="1:7" x14ac:dyDescent="0.3">
      <c r="C164" t="s">
        <v>201</v>
      </c>
      <c r="D164">
        <v>2</v>
      </c>
      <c r="E164" t="s">
        <v>314</v>
      </c>
      <c r="F164" s="8">
        <v>13000</v>
      </c>
      <c r="G164" s="8">
        <f>Table2[[#This Row],[Unit_Price]]*Table2[[#This Row],[Quantity Sold]]</f>
        <v>26000</v>
      </c>
    </row>
    <row r="165" spans="1:7" x14ac:dyDescent="0.3">
      <c r="C165" t="s">
        <v>315</v>
      </c>
      <c r="D165">
        <v>1</v>
      </c>
      <c r="E165" t="s">
        <v>316</v>
      </c>
      <c r="F165" s="8">
        <v>13000</v>
      </c>
      <c r="G165" s="8">
        <f>Table2[[#This Row],[Unit_Price]]*Table2[[#This Row],[Quantity Sold]]</f>
        <v>13000</v>
      </c>
    </row>
    <row r="166" spans="1:7" x14ac:dyDescent="0.3">
      <c r="A166" t="s">
        <v>317</v>
      </c>
      <c r="B166" t="s">
        <v>318</v>
      </c>
      <c r="D166">
        <v>2</v>
      </c>
      <c r="E166" t="s">
        <v>66</v>
      </c>
      <c r="F166" s="8">
        <v>13000</v>
      </c>
      <c r="G166" s="8">
        <f>Table2[[#This Row],[Unit_Price]]*Table2[[#This Row],[Quantity Sold]]</f>
        <v>26000</v>
      </c>
    </row>
    <row r="167" spans="1:7" x14ac:dyDescent="0.3">
      <c r="A167" t="s">
        <v>319</v>
      </c>
      <c r="B167" t="s">
        <v>320</v>
      </c>
      <c r="D167">
        <v>2</v>
      </c>
      <c r="E167" t="s">
        <v>287</v>
      </c>
      <c r="F167" s="8">
        <v>20000</v>
      </c>
      <c r="G167" s="8">
        <f>Table2[[#This Row],[Unit_Price]]*Table2[[#This Row],[Quantity Sold]]</f>
        <v>40000</v>
      </c>
    </row>
    <row r="168" spans="1:7" x14ac:dyDescent="0.3">
      <c r="A168" t="s">
        <v>321</v>
      </c>
      <c r="B168" t="s">
        <v>322</v>
      </c>
      <c r="C168" t="s">
        <v>28</v>
      </c>
      <c r="D168">
        <v>1</v>
      </c>
      <c r="E168" t="s">
        <v>60</v>
      </c>
      <c r="F168" s="8">
        <v>13500</v>
      </c>
      <c r="G168" s="8">
        <f>Table2[[#This Row],[Unit_Price]]*Table2[[#This Row],[Quantity Sold]]</f>
        <v>13500</v>
      </c>
    </row>
    <row r="169" spans="1:7" x14ac:dyDescent="0.3">
      <c r="C169" t="s">
        <v>94</v>
      </c>
      <c r="D169">
        <v>1</v>
      </c>
      <c r="E169" t="s">
        <v>98</v>
      </c>
      <c r="F169" s="8">
        <v>13500</v>
      </c>
      <c r="G169" s="8">
        <f>Table2[[#This Row],[Unit_Price]]*Table2[[#This Row],[Quantity Sold]]</f>
        <v>13500</v>
      </c>
    </row>
    <row r="170" spans="1:7" x14ac:dyDescent="0.3">
      <c r="C170" t="s">
        <v>13</v>
      </c>
      <c r="D170">
        <v>1</v>
      </c>
      <c r="E170" t="s">
        <v>115</v>
      </c>
      <c r="F170" s="8">
        <v>13500</v>
      </c>
      <c r="G170" s="8">
        <f>Table2[[#This Row],[Unit_Price]]*Table2[[#This Row],[Quantity Sold]]</f>
        <v>13500</v>
      </c>
    </row>
    <row r="171" spans="1:7" x14ac:dyDescent="0.3">
      <c r="C171" t="s">
        <v>104</v>
      </c>
      <c r="D171">
        <v>1</v>
      </c>
      <c r="E171" t="s">
        <v>299</v>
      </c>
      <c r="F171" s="8">
        <v>13500</v>
      </c>
      <c r="G171" s="8">
        <f>Table2[[#This Row],[Unit_Price]]*Table2[[#This Row],[Quantity Sold]]</f>
        <v>13500</v>
      </c>
    </row>
    <row r="172" spans="1:7" x14ac:dyDescent="0.3">
      <c r="A172" t="s">
        <v>323</v>
      </c>
      <c r="B172" t="s">
        <v>324</v>
      </c>
      <c r="D172">
        <v>2</v>
      </c>
      <c r="E172" t="s">
        <v>325</v>
      </c>
      <c r="F172" s="8">
        <v>13500</v>
      </c>
      <c r="G172" s="8">
        <f>Table2[[#This Row],[Unit_Price]]*Table2[[#This Row],[Quantity Sold]]</f>
        <v>27000</v>
      </c>
    </row>
    <row r="173" spans="1:7" x14ac:dyDescent="0.3">
      <c r="A173" t="s">
        <v>326</v>
      </c>
      <c r="B173" t="s">
        <v>327</v>
      </c>
      <c r="D173">
        <v>1</v>
      </c>
      <c r="E173" t="s">
        <v>328</v>
      </c>
      <c r="F173" s="8">
        <v>22500</v>
      </c>
      <c r="G173" s="8">
        <f>Table2[[#This Row],[Unit_Price]]*Table2[[#This Row],[Quantity Sold]]</f>
        <v>22500</v>
      </c>
    </row>
    <row r="174" spans="1:7" x14ac:dyDescent="0.3">
      <c r="A174" t="s">
        <v>330</v>
      </c>
      <c r="B174" t="s">
        <v>329</v>
      </c>
      <c r="D174">
        <v>1</v>
      </c>
      <c r="E174" t="s">
        <v>331</v>
      </c>
      <c r="F174" s="8">
        <v>22500</v>
      </c>
      <c r="G174" s="8">
        <f>Table2[[#This Row],[Unit_Price]]*Table2[[#This Row],[Quantity Sold]]</f>
        <v>22500</v>
      </c>
    </row>
    <row r="175" spans="1:7" x14ac:dyDescent="0.3">
      <c r="A175" t="s">
        <v>332</v>
      </c>
      <c r="B175" t="s">
        <v>333</v>
      </c>
      <c r="C175" t="s">
        <v>13</v>
      </c>
      <c r="D175">
        <v>1</v>
      </c>
      <c r="E175" t="s">
        <v>61</v>
      </c>
      <c r="F175" s="8">
        <v>13000</v>
      </c>
      <c r="G175" s="8">
        <f>Table2[[#This Row],[Unit_Price]]*Table2[[#This Row],[Quantity Sold]]</f>
        <v>13000</v>
      </c>
    </row>
    <row r="176" spans="1:7" x14ac:dyDescent="0.3">
      <c r="A176" t="s">
        <v>334</v>
      </c>
      <c r="B176" t="s">
        <v>335</v>
      </c>
      <c r="D176">
        <v>2</v>
      </c>
      <c r="E176" t="s">
        <v>336</v>
      </c>
      <c r="F176" s="8">
        <v>26000</v>
      </c>
      <c r="G176" s="8">
        <f>Table2[[#This Row],[Unit_Price]]*Table2[[#This Row],[Quantity Sold]]</f>
        <v>52000</v>
      </c>
    </row>
    <row r="177" spans="1:7" x14ac:dyDescent="0.3">
      <c r="A177" t="s">
        <v>337</v>
      </c>
      <c r="B177" t="s">
        <v>338</v>
      </c>
      <c r="D177">
        <v>5</v>
      </c>
      <c r="E177" t="s">
        <v>339</v>
      </c>
      <c r="F177" s="8">
        <v>25000</v>
      </c>
      <c r="G177" s="8">
        <f>Table2[[#This Row],[Unit_Price]]*Table2[[#This Row],[Quantity Sold]]</f>
        <v>125000</v>
      </c>
    </row>
    <row r="178" spans="1:7" x14ac:dyDescent="0.3">
      <c r="A178" t="s">
        <v>340</v>
      </c>
      <c r="B178" t="s">
        <v>341</v>
      </c>
      <c r="C178" t="s">
        <v>342</v>
      </c>
      <c r="D178">
        <v>1</v>
      </c>
      <c r="E178" t="s">
        <v>128</v>
      </c>
      <c r="F178" s="8">
        <v>15500</v>
      </c>
      <c r="G178" s="8">
        <f>Table2[[#This Row],[Unit_Price]]*Table2[[#This Row],[Quantity Sold]]</f>
        <v>15500</v>
      </c>
    </row>
    <row r="179" spans="1:7" x14ac:dyDescent="0.3">
      <c r="A179" t="s">
        <v>343</v>
      </c>
      <c r="B179" t="s">
        <v>344</v>
      </c>
      <c r="C179" t="s">
        <v>38</v>
      </c>
      <c r="D179">
        <v>1</v>
      </c>
      <c r="E179" t="s">
        <v>128</v>
      </c>
      <c r="F179" s="8">
        <v>15500</v>
      </c>
      <c r="G179" s="8">
        <f>Table2[[#This Row],[Unit_Price]]*Table2[[#This Row],[Quantity Sold]]</f>
        <v>15500</v>
      </c>
    </row>
    <row r="180" spans="1:7" x14ac:dyDescent="0.3">
      <c r="A180" t="s">
        <v>403</v>
      </c>
      <c r="B180" t="s">
        <v>345</v>
      </c>
      <c r="C180" t="s">
        <v>94</v>
      </c>
      <c r="D180">
        <v>2</v>
      </c>
      <c r="E180" t="s">
        <v>346</v>
      </c>
      <c r="F180" s="8">
        <v>15500</v>
      </c>
      <c r="G180" s="8">
        <f>Table2[[#This Row],[Unit_Price]]*Table2[[#This Row],[Quantity Sold]]</f>
        <v>31000</v>
      </c>
    </row>
    <row r="181" spans="1:7" x14ac:dyDescent="0.3">
      <c r="A181" t="s">
        <v>348</v>
      </c>
      <c r="B181" t="s">
        <v>347</v>
      </c>
      <c r="D181">
        <v>1</v>
      </c>
      <c r="E181" t="s">
        <v>176</v>
      </c>
      <c r="F181" s="8">
        <v>15500</v>
      </c>
      <c r="G181" s="8">
        <f>Table2[[#This Row],[Unit_Price]]*Table2[[#This Row],[Quantity Sold]]</f>
        <v>15500</v>
      </c>
    </row>
    <row r="182" spans="1:7" x14ac:dyDescent="0.3">
      <c r="A182" t="s">
        <v>349</v>
      </c>
      <c r="B182" t="s">
        <v>350</v>
      </c>
      <c r="D182">
        <v>1</v>
      </c>
      <c r="E182" t="s">
        <v>351</v>
      </c>
      <c r="F182" s="8">
        <v>15500</v>
      </c>
      <c r="G182" s="8">
        <f>Table2[[#This Row],[Unit_Price]]*Table2[[#This Row],[Quantity Sold]]</f>
        <v>15500</v>
      </c>
    </row>
    <row r="183" spans="1:7" x14ac:dyDescent="0.3">
      <c r="A183" t="s">
        <v>352</v>
      </c>
      <c r="B183" t="s">
        <v>353</v>
      </c>
      <c r="D183">
        <v>1</v>
      </c>
      <c r="E183" t="s">
        <v>354</v>
      </c>
      <c r="F183" s="8">
        <v>15500</v>
      </c>
      <c r="G183" s="8">
        <f>Table2[[#This Row],[Unit_Price]]*Table2[[#This Row],[Quantity Sold]]</f>
        <v>15500</v>
      </c>
    </row>
    <row r="184" spans="1:7" x14ac:dyDescent="0.3">
      <c r="A184" t="s">
        <v>355</v>
      </c>
      <c r="B184" t="s">
        <v>356</v>
      </c>
      <c r="C184" t="s">
        <v>182</v>
      </c>
      <c r="D184">
        <v>1</v>
      </c>
      <c r="F184" s="8">
        <v>20000</v>
      </c>
      <c r="G184" s="8">
        <f>Table2[[#This Row],[Unit_Price]]*Table2[[#This Row],[Quantity Sold]]</f>
        <v>20000</v>
      </c>
    </row>
    <row r="185" spans="1:7" x14ac:dyDescent="0.3">
      <c r="C185" t="s">
        <v>48</v>
      </c>
      <c r="D185">
        <v>1</v>
      </c>
      <c r="F185" s="8">
        <v>20000</v>
      </c>
      <c r="G185" s="8">
        <f>Table2[[#This Row],[Unit_Price]]*Table2[[#This Row],[Quantity Sold]]</f>
        <v>20000</v>
      </c>
    </row>
    <row r="186" spans="1:7" x14ac:dyDescent="0.3">
      <c r="A186" t="s">
        <v>358</v>
      </c>
      <c r="B186" t="s">
        <v>357</v>
      </c>
      <c r="C186" t="s">
        <v>94</v>
      </c>
      <c r="D186">
        <v>1</v>
      </c>
      <c r="G186" s="8">
        <f>Table2[[#This Row],[Unit_Price]]*Table2[[#This Row],[Quantity Sold]]</f>
        <v>0</v>
      </c>
    </row>
    <row r="187" spans="1:7" x14ac:dyDescent="0.3">
      <c r="A187" t="s">
        <v>359</v>
      </c>
      <c r="B187" t="s">
        <v>360</v>
      </c>
      <c r="C187" t="s">
        <v>94</v>
      </c>
      <c r="D187">
        <v>1</v>
      </c>
      <c r="F187" s="8">
        <v>30000</v>
      </c>
      <c r="G187" s="8">
        <f>Table2[[#This Row],[Unit_Price]]*Table2[[#This Row],[Quantity Sold]]</f>
        <v>30000</v>
      </c>
    </row>
    <row r="188" spans="1:7" x14ac:dyDescent="0.3">
      <c r="A188" t="s">
        <v>406</v>
      </c>
      <c r="B188" t="s">
        <v>407</v>
      </c>
      <c r="D188">
        <v>1</v>
      </c>
      <c r="F188" s="8">
        <v>25000</v>
      </c>
      <c r="G188" s="8">
        <f>Table2[[#This Row],[Unit_Price]]*Table2[[#This Row],[Quantity Sold]]</f>
        <v>25000</v>
      </c>
    </row>
    <row r="189" spans="1:7" x14ac:dyDescent="0.3">
      <c r="A189" t="s">
        <v>361</v>
      </c>
      <c r="B189" t="s">
        <v>362</v>
      </c>
      <c r="C189" t="s">
        <v>363</v>
      </c>
      <c r="D189">
        <v>1</v>
      </c>
      <c r="E189">
        <v>30</v>
      </c>
      <c r="F189" s="8">
        <v>18500</v>
      </c>
      <c r="G189" s="8">
        <f>Table2[[#This Row],[Unit_Price]]*Table2[[#This Row],[Quantity Sold]]</f>
        <v>18500</v>
      </c>
    </row>
    <row r="190" spans="1:7" x14ac:dyDescent="0.3">
      <c r="C190" t="s">
        <v>38</v>
      </c>
      <c r="D190">
        <v>1</v>
      </c>
      <c r="E190">
        <v>26</v>
      </c>
      <c r="F190" s="8">
        <v>18500</v>
      </c>
      <c r="G190" s="8">
        <f>Table2[[#This Row],[Unit_Price]]*Table2[[#This Row],[Quantity Sold]]</f>
        <v>18500</v>
      </c>
    </row>
    <row r="191" spans="1:7" x14ac:dyDescent="0.3">
      <c r="A191" t="s">
        <v>364</v>
      </c>
      <c r="B191" t="s">
        <v>365</v>
      </c>
      <c r="C191" t="s">
        <v>104</v>
      </c>
      <c r="D191">
        <v>1</v>
      </c>
      <c r="E191">
        <v>33</v>
      </c>
      <c r="F191" s="8">
        <v>25000</v>
      </c>
      <c r="G191" s="8">
        <f>Table2[[#This Row],[Unit_Price]]*Table2[[#This Row],[Quantity Sold]]</f>
        <v>25000</v>
      </c>
    </row>
    <row r="192" spans="1:7" x14ac:dyDescent="0.3">
      <c r="A192" t="s">
        <v>366</v>
      </c>
      <c r="B192" t="s">
        <v>367</v>
      </c>
      <c r="C192" t="s">
        <v>13</v>
      </c>
      <c r="D192">
        <v>1</v>
      </c>
      <c r="E192">
        <v>29</v>
      </c>
      <c r="F192" s="8">
        <v>12500</v>
      </c>
      <c r="G192" s="8">
        <f>Table2[[#This Row],[Unit_Price]]*Table2[[#This Row],[Quantity Sold]]</f>
        <v>12500</v>
      </c>
    </row>
    <row r="193" spans="1:7" x14ac:dyDescent="0.3">
      <c r="A193" t="s">
        <v>368</v>
      </c>
      <c r="B193" t="s">
        <v>369</v>
      </c>
      <c r="C193" t="s">
        <v>104</v>
      </c>
      <c r="D193">
        <v>1</v>
      </c>
      <c r="E193">
        <v>32</v>
      </c>
      <c r="F193" s="8">
        <v>12500</v>
      </c>
      <c r="G193" s="8">
        <f>Table2[[#This Row],[Unit_Price]]*Table2[[#This Row],[Quantity Sold]]</f>
        <v>12500</v>
      </c>
    </row>
    <row r="194" spans="1:7" x14ac:dyDescent="0.3">
      <c r="A194" t="s">
        <v>370</v>
      </c>
      <c r="B194" t="s">
        <v>371</v>
      </c>
      <c r="C194" t="s">
        <v>372</v>
      </c>
      <c r="D194">
        <v>1</v>
      </c>
      <c r="E194">
        <v>34</v>
      </c>
      <c r="F194" s="8">
        <v>12500</v>
      </c>
      <c r="G194" s="8">
        <f>Table2[[#This Row],[Unit_Price]]*Table2[[#This Row],[Quantity Sold]]</f>
        <v>12500</v>
      </c>
    </row>
    <row r="195" spans="1:7" x14ac:dyDescent="0.3">
      <c r="A195" t="s">
        <v>373</v>
      </c>
      <c r="B195" t="s">
        <v>374</v>
      </c>
      <c r="C195" t="s">
        <v>375</v>
      </c>
      <c r="D195">
        <v>1</v>
      </c>
      <c r="E195">
        <v>35</v>
      </c>
      <c r="F195" s="8">
        <v>12500</v>
      </c>
      <c r="G195" s="8">
        <f>Table2[[#This Row],[Unit_Price]]*Table2[[#This Row],[Quantity Sold]]</f>
        <v>12500</v>
      </c>
    </row>
    <row r="196" spans="1:7" x14ac:dyDescent="0.3">
      <c r="A196" t="s">
        <v>376</v>
      </c>
      <c r="B196" t="s">
        <v>377</v>
      </c>
      <c r="D196">
        <v>1</v>
      </c>
      <c r="E196">
        <v>35</v>
      </c>
      <c r="F196" s="8">
        <v>35000</v>
      </c>
      <c r="G196" s="8">
        <f>Table2[[#This Row],[Unit_Price]]*Table2[[#This Row],[Quantity Sold]]</f>
        <v>35000</v>
      </c>
    </row>
    <row r="197" spans="1:7" x14ac:dyDescent="0.3">
      <c r="A197" t="s">
        <v>378</v>
      </c>
      <c r="B197" t="s">
        <v>379</v>
      </c>
      <c r="C197" t="s">
        <v>380</v>
      </c>
      <c r="D197">
        <v>1</v>
      </c>
      <c r="E197">
        <v>34</v>
      </c>
      <c r="F197" s="8">
        <v>27000</v>
      </c>
      <c r="G197" s="8">
        <f>Table2[[#This Row],[Unit_Price]]*Table2[[#This Row],[Quantity Sold]]</f>
        <v>27000</v>
      </c>
    </row>
    <row r="198" spans="1:7" x14ac:dyDescent="0.3">
      <c r="C198" t="s">
        <v>2</v>
      </c>
      <c r="D198">
        <v>1</v>
      </c>
      <c r="E198">
        <v>28</v>
      </c>
      <c r="F198" s="8">
        <v>27000</v>
      </c>
      <c r="G198" s="8">
        <f>Table2[[#This Row],[Unit_Price]]*Table2[[#This Row],[Quantity Sold]]</f>
        <v>27000</v>
      </c>
    </row>
    <row r="199" spans="1:7" x14ac:dyDescent="0.3">
      <c r="A199" t="s">
        <v>381</v>
      </c>
      <c r="B199" t="s">
        <v>382</v>
      </c>
      <c r="C199" t="s">
        <v>13</v>
      </c>
      <c r="D199">
        <v>1</v>
      </c>
      <c r="F199" s="8">
        <v>25000</v>
      </c>
      <c r="G199" s="8">
        <f>Table2[[#This Row],[Unit_Price]]*Table2[[#This Row],[Quantity Sold]]</f>
        <v>25000</v>
      </c>
    </row>
    <row r="200" spans="1:7" x14ac:dyDescent="0.3">
      <c r="A200" t="s">
        <v>383</v>
      </c>
      <c r="B200" t="s">
        <v>384</v>
      </c>
      <c r="D200">
        <v>2</v>
      </c>
      <c r="E200" t="s">
        <v>385</v>
      </c>
      <c r="F200" s="8">
        <v>21000</v>
      </c>
      <c r="G200" s="8">
        <f>Table2[[#This Row],[Unit_Price]]*Table2[[#This Row],[Quantity Sold]]</f>
        <v>42000</v>
      </c>
    </row>
    <row r="201" spans="1:7" x14ac:dyDescent="0.3">
      <c r="A201" t="s">
        <v>386</v>
      </c>
      <c r="B201" t="s">
        <v>387</v>
      </c>
      <c r="C201" t="s">
        <v>104</v>
      </c>
      <c r="D201">
        <v>1</v>
      </c>
      <c r="E201">
        <v>33</v>
      </c>
      <c r="F201" s="8">
        <v>25000</v>
      </c>
      <c r="G201" s="8">
        <f>Table2[[#This Row],[Unit_Price]]*Table2[[#This Row],[Quantity Sold]]</f>
        <v>25000</v>
      </c>
    </row>
    <row r="202" spans="1:7" x14ac:dyDescent="0.3">
      <c r="C202" t="s">
        <v>13</v>
      </c>
      <c r="D202">
        <v>1</v>
      </c>
      <c r="E202">
        <v>28</v>
      </c>
      <c r="F202" s="8">
        <v>25000</v>
      </c>
      <c r="G202" s="8">
        <f>Table2[[#This Row],[Unit_Price]]*Table2[[#This Row],[Quantity Sold]]</f>
        <v>25000</v>
      </c>
    </row>
    <row r="203" spans="1:7" x14ac:dyDescent="0.3">
      <c r="C203" t="s">
        <v>388</v>
      </c>
      <c r="D203">
        <v>2</v>
      </c>
      <c r="E203" t="s">
        <v>389</v>
      </c>
      <c r="F203" s="8">
        <v>25000</v>
      </c>
      <c r="G203" s="8">
        <f>Table2[[#This Row],[Unit_Price]]*Table2[[#This Row],[Quantity Sold]]</f>
        <v>50000</v>
      </c>
    </row>
    <row r="204" spans="1:7" x14ac:dyDescent="0.3">
      <c r="A204" t="s">
        <v>390</v>
      </c>
      <c r="B204" t="s">
        <v>391</v>
      </c>
      <c r="C204" t="s">
        <v>104</v>
      </c>
      <c r="D204">
        <v>1</v>
      </c>
      <c r="E204">
        <v>29</v>
      </c>
      <c r="F204" s="8">
        <v>25000</v>
      </c>
      <c r="G204" s="8">
        <f>Table2[[#This Row],[Unit_Price]]*Table2[[#This Row],[Quantity Sold]]</f>
        <v>25000</v>
      </c>
    </row>
    <row r="205" spans="1:7" x14ac:dyDescent="0.3">
      <c r="A205" t="s">
        <v>392</v>
      </c>
      <c r="B205" t="s">
        <v>393</v>
      </c>
      <c r="C205" t="s">
        <v>104</v>
      </c>
      <c r="D205">
        <v>1</v>
      </c>
      <c r="E205">
        <v>39</v>
      </c>
      <c r="F205" s="8">
        <v>30000</v>
      </c>
      <c r="G205" s="8">
        <f>Table2[[#This Row],[Unit_Price]]*Table2[[#This Row],[Quantity Sold]]</f>
        <v>30000</v>
      </c>
    </row>
    <row r="206" spans="1:7" x14ac:dyDescent="0.3">
      <c r="C206" t="s">
        <v>388</v>
      </c>
      <c r="D206">
        <v>2</v>
      </c>
      <c r="E206" t="s">
        <v>394</v>
      </c>
      <c r="F206" s="8">
        <v>35000</v>
      </c>
      <c r="G206" s="8">
        <f>Table2[[#This Row],[Unit_Price]]*Table2[[#This Row],[Quantity Sold]]</f>
        <v>70000</v>
      </c>
    </row>
    <row r="207" spans="1:7" x14ac:dyDescent="0.3">
      <c r="C207" t="s">
        <v>105</v>
      </c>
      <c r="D207">
        <v>2</v>
      </c>
      <c r="E207" t="s">
        <v>395</v>
      </c>
      <c r="F207" s="8">
        <v>35000</v>
      </c>
      <c r="G207" s="8">
        <f>Table2[[#This Row],[Unit_Price]]*Table2[[#This Row],[Quantity Sold]]</f>
        <v>70000</v>
      </c>
    </row>
    <row r="208" spans="1:7" x14ac:dyDescent="0.3">
      <c r="C208" t="s">
        <v>152</v>
      </c>
      <c r="D208">
        <v>4</v>
      </c>
      <c r="E208" t="s">
        <v>396</v>
      </c>
      <c r="F208" s="8">
        <v>35000</v>
      </c>
      <c r="G208" s="8">
        <f>Table2[[#This Row],[Unit_Price]]*Table2[[#This Row],[Quantity Sold]]</f>
        <v>140000</v>
      </c>
    </row>
    <row r="209" spans="1:7" x14ac:dyDescent="0.3">
      <c r="C209" t="s">
        <v>14</v>
      </c>
      <c r="D209">
        <v>6</v>
      </c>
      <c r="E209" t="s">
        <v>397</v>
      </c>
      <c r="F209" s="8">
        <v>30000</v>
      </c>
      <c r="G209" s="8">
        <f>Table2[[#This Row],[Unit_Price]]*Table2[[#This Row],[Quantity Sold]]</f>
        <v>180000</v>
      </c>
    </row>
    <row r="210" spans="1:7" x14ac:dyDescent="0.3">
      <c r="A210" t="s">
        <v>399</v>
      </c>
      <c r="B210" t="s">
        <v>398</v>
      </c>
      <c r="D210">
        <v>6</v>
      </c>
      <c r="F210" s="8">
        <v>30000</v>
      </c>
      <c r="G210" s="8">
        <f>Table2[[#This Row],[Unit_Price]]*Table2[[#This Row],[Quantity Sold]]</f>
        <v>180000</v>
      </c>
    </row>
    <row r="211" spans="1:7" x14ac:dyDescent="0.3">
      <c r="A211" t="s">
        <v>400</v>
      </c>
      <c r="B211" t="s">
        <v>401</v>
      </c>
      <c r="C211" t="s">
        <v>402</v>
      </c>
      <c r="D211">
        <v>2</v>
      </c>
      <c r="F211" s="8">
        <v>30000</v>
      </c>
      <c r="G211" s="8">
        <f>Table2[[#This Row],[Unit_Price]]*Table2[[#This Row],[Quantity Sold]]</f>
        <v>60000</v>
      </c>
    </row>
    <row r="212" spans="1:7" x14ac:dyDescent="0.3">
      <c r="A212" t="s">
        <v>404</v>
      </c>
      <c r="B212" t="s">
        <v>405</v>
      </c>
      <c r="D212">
        <v>3</v>
      </c>
      <c r="F212" s="8">
        <v>22500</v>
      </c>
      <c r="G212" s="8">
        <f>Table2[[#This Row],[Unit_Price]]*Table2[[#This Row],[Quantity Sold]]</f>
        <v>67500</v>
      </c>
    </row>
    <row r="217" spans="1:7" ht="18" x14ac:dyDescent="0.35">
      <c r="D217" s="4">
        <f>SUM(Table2[Quantity Sold])</f>
        <v>359</v>
      </c>
      <c r="F217" s="9" t="s">
        <v>410</v>
      </c>
      <c r="G217" s="10">
        <f>SUM(Table2[Price])</f>
        <v>7361500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BC40-64DE-44E2-8118-3DB3D4E0A213}">
  <sheetPr>
    <tabColor rgb="FF7030A0"/>
  </sheetPr>
  <dimension ref="B1:AH222"/>
  <sheetViews>
    <sheetView topLeftCell="K1" zoomScaleNormal="100" workbookViewId="0">
      <selection activeCell="I11" sqref="I11"/>
    </sheetView>
  </sheetViews>
  <sheetFormatPr defaultRowHeight="14.4" x14ac:dyDescent="0.3"/>
  <cols>
    <col min="2" max="2" width="13" customWidth="1"/>
    <col min="3" max="3" width="14.33203125" customWidth="1"/>
    <col min="6" max="6" width="12" bestFit="1" customWidth="1"/>
    <col min="7" max="7" width="14.6640625" bestFit="1" customWidth="1"/>
    <col min="8" max="8" width="12" bestFit="1" customWidth="1"/>
    <col min="9" max="9" width="14.33203125" customWidth="1"/>
    <col min="11" max="11" width="50.5546875" bestFit="1" customWidth="1"/>
    <col min="12" max="12" width="14.33203125" customWidth="1"/>
    <col min="13" max="13" width="8.5546875" customWidth="1"/>
    <col min="14" max="15" width="30.6640625" bestFit="1" customWidth="1"/>
    <col min="16" max="16" width="14.6640625" bestFit="1" customWidth="1"/>
    <col min="19" max="19" width="50.5546875" bestFit="1" customWidth="1"/>
    <col min="20" max="20" width="12.77734375" style="2" bestFit="1" customWidth="1"/>
    <col min="21" max="21" width="10.21875" bestFit="1" customWidth="1"/>
    <col min="23" max="23" width="30.6640625" bestFit="1" customWidth="1"/>
    <col min="24" max="24" width="11.33203125" bestFit="1" customWidth="1"/>
    <col min="29" max="29" width="11" bestFit="1" customWidth="1"/>
    <col min="30" max="30" width="15" bestFit="1" customWidth="1"/>
    <col min="32" max="32" width="11.6640625" customWidth="1"/>
    <col min="34" max="34" width="13.6640625" customWidth="1"/>
  </cols>
  <sheetData>
    <row r="1" spans="2:34" x14ac:dyDescent="0.3">
      <c r="B1" s="23" t="s">
        <v>0</v>
      </c>
      <c r="C1" s="23" t="s">
        <v>25</v>
      </c>
      <c r="F1" s="23" t="s">
        <v>0</v>
      </c>
      <c r="G1" s="23" t="s">
        <v>25</v>
      </c>
      <c r="K1" s="23" t="s">
        <v>3</v>
      </c>
      <c r="L1" s="23" t="s">
        <v>25</v>
      </c>
      <c r="O1" t="s">
        <v>3</v>
      </c>
      <c r="P1" t="s">
        <v>25</v>
      </c>
      <c r="S1" t="s">
        <v>3</v>
      </c>
      <c r="T1" s="2" t="s">
        <v>408</v>
      </c>
      <c r="W1" t="s">
        <v>3</v>
      </c>
      <c r="X1" t="s">
        <v>408</v>
      </c>
      <c r="AC1" t="s">
        <v>441</v>
      </c>
      <c r="AD1" t="s">
        <v>442</v>
      </c>
      <c r="AF1" t="s">
        <v>445</v>
      </c>
      <c r="AH1" t="s">
        <v>447</v>
      </c>
    </row>
    <row r="2" spans="2:34" x14ac:dyDescent="0.3">
      <c r="B2" t="s">
        <v>1</v>
      </c>
      <c r="C2">
        <v>1</v>
      </c>
      <c r="F2" t="s">
        <v>104</v>
      </c>
      <c r="G2">
        <v>1</v>
      </c>
      <c r="K2" t="s">
        <v>419</v>
      </c>
      <c r="L2">
        <v>28</v>
      </c>
      <c r="O2" t="s">
        <v>361</v>
      </c>
      <c r="P2">
        <v>2</v>
      </c>
      <c r="S2" t="s">
        <v>419</v>
      </c>
      <c r="T2" s="8">
        <v>840000</v>
      </c>
      <c r="W2" t="s">
        <v>392</v>
      </c>
      <c r="X2" s="8">
        <v>490000</v>
      </c>
      <c r="AC2" t="s">
        <v>427</v>
      </c>
      <c r="AF2">
        <v>30</v>
      </c>
      <c r="AH2" t="s">
        <v>196</v>
      </c>
    </row>
    <row r="3" spans="2:34" x14ac:dyDescent="0.3">
      <c r="B3" t="s">
        <v>2</v>
      </c>
      <c r="C3">
        <v>2</v>
      </c>
      <c r="F3" t="s">
        <v>13</v>
      </c>
      <c r="G3">
        <v>1</v>
      </c>
      <c r="K3" t="s">
        <v>269</v>
      </c>
      <c r="L3">
        <v>13</v>
      </c>
      <c r="O3" t="s">
        <v>364</v>
      </c>
      <c r="P3">
        <v>1</v>
      </c>
      <c r="S3" t="s">
        <v>269</v>
      </c>
      <c r="T3" s="8">
        <v>240500</v>
      </c>
      <c r="W3" t="s">
        <v>399</v>
      </c>
      <c r="X3" s="8">
        <v>180000</v>
      </c>
      <c r="AC3" t="s">
        <v>427</v>
      </c>
      <c r="AF3">
        <v>26</v>
      </c>
      <c r="AH3" t="s">
        <v>197</v>
      </c>
    </row>
    <row r="4" spans="2:34" x14ac:dyDescent="0.3">
      <c r="B4" t="s">
        <v>13</v>
      </c>
      <c r="C4">
        <v>2</v>
      </c>
      <c r="F4" t="s">
        <v>104</v>
      </c>
      <c r="G4">
        <v>1</v>
      </c>
      <c r="K4" t="s">
        <v>203</v>
      </c>
      <c r="L4">
        <v>9</v>
      </c>
      <c r="O4" t="s">
        <v>366</v>
      </c>
      <c r="P4">
        <v>1</v>
      </c>
      <c r="S4" t="s">
        <v>91</v>
      </c>
      <c r="T4" s="8">
        <v>175000</v>
      </c>
      <c r="W4" t="s">
        <v>386</v>
      </c>
      <c r="X4" s="8">
        <v>100000</v>
      </c>
      <c r="AC4" t="s">
        <v>434</v>
      </c>
      <c r="AF4">
        <v>33</v>
      </c>
      <c r="AH4" t="s">
        <v>196</v>
      </c>
    </row>
    <row r="5" spans="2:34" x14ac:dyDescent="0.3">
      <c r="B5" t="s">
        <v>14</v>
      </c>
      <c r="C5">
        <v>1</v>
      </c>
      <c r="F5" t="s">
        <v>372</v>
      </c>
      <c r="G5">
        <v>1</v>
      </c>
      <c r="K5" t="s">
        <v>35</v>
      </c>
      <c r="L5">
        <v>7</v>
      </c>
      <c r="O5" t="s">
        <v>368</v>
      </c>
      <c r="P5">
        <v>1</v>
      </c>
      <c r="S5" t="s">
        <v>245</v>
      </c>
      <c r="T5" s="8">
        <v>140000</v>
      </c>
      <c r="W5" t="s">
        <v>400</v>
      </c>
      <c r="X5" s="8">
        <v>60000</v>
      </c>
      <c r="AC5" t="s">
        <v>427</v>
      </c>
      <c r="AF5">
        <v>29</v>
      </c>
      <c r="AH5" t="s">
        <v>196</v>
      </c>
    </row>
    <row r="6" spans="2:34" x14ac:dyDescent="0.3">
      <c r="B6" t="s">
        <v>15</v>
      </c>
      <c r="C6">
        <v>2</v>
      </c>
      <c r="F6" t="s">
        <v>375</v>
      </c>
      <c r="G6">
        <v>1</v>
      </c>
      <c r="K6" t="s">
        <v>245</v>
      </c>
      <c r="L6">
        <v>7</v>
      </c>
      <c r="O6" t="s">
        <v>370</v>
      </c>
      <c r="P6">
        <v>1</v>
      </c>
      <c r="S6" t="s">
        <v>101</v>
      </c>
      <c r="T6" s="8">
        <v>135000</v>
      </c>
      <c r="W6" t="s">
        <v>378</v>
      </c>
      <c r="X6" s="8">
        <v>54000</v>
      </c>
      <c r="AC6" t="s">
        <v>431</v>
      </c>
      <c r="AF6">
        <v>32</v>
      </c>
      <c r="AH6" t="s">
        <v>196</v>
      </c>
    </row>
    <row r="7" spans="2:34" x14ac:dyDescent="0.3">
      <c r="B7" t="s">
        <v>18</v>
      </c>
      <c r="C7">
        <v>1</v>
      </c>
      <c r="F7" t="s">
        <v>380</v>
      </c>
      <c r="G7">
        <v>1</v>
      </c>
      <c r="K7" t="s">
        <v>266</v>
      </c>
      <c r="L7">
        <v>6</v>
      </c>
      <c r="O7" t="s">
        <v>373</v>
      </c>
      <c r="P7">
        <v>1</v>
      </c>
      <c r="S7" t="s">
        <v>99</v>
      </c>
      <c r="T7" s="8">
        <v>125000</v>
      </c>
      <c r="W7" t="s">
        <v>383</v>
      </c>
      <c r="X7" s="8">
        <v>42000</v>
      </c>
      <c r="AC7" t="s">
        <v>428</v>
      </c>
      <c r="AF7">
        <v>34</v>
      </c>
      <c r="AH7" t="s">
        <v>196</v>
      </c>
    </row>
    <row r="8" spans="2:34" x14ac:dyDescent="0.3">
      <c r="B8" t="s">
        <v>14</v>
      </c>
      <c r="C8">
        <v>1</v>
      </c>
      <c r="F8" t="s">
        <v>2</v>
      </c>
      <c r="G8">
        <v>1</v>
      </c>
      <c r="K8" t="s">
        <v>11</v>
      </c>
      <c r="L8">
        <v>5</v>
      </c>
      <c r="O8" t="s">
        <v>376</v>
      </c>
      <c r="P8">
        <v>1</v>
      </c>
      <c r="S8" t="s">
        <v>337</v>
      </c>
      <c r="T8" s="8">
        <v>125000</v>
      </c>
      <c r="W8" t="s">
        <v>361</v>
      </c>
      <c r="X8" s="8">
        <v>37000</v>
      </c>
      <c r="AC8" t="s">
        <v>431</v>
      </c>
      <c r="AF8">
        <v>35</v>
      </c>
      <c r="AH8" t="s">
        <v>196</v>
      </c>
    </row>
    <row r="9" spans="2:34" x14ac:dyDescent="0.3">
      <c r="B9" t="s">
        <v>13</v>
      </c>
      <c r="C9">
        <v>1</v>
      </c>
      <c r="F9" t="s">
        <v>13</v>
      </c>
      <c r="G9">
        <v>1</v>
      </c>
      <c r="K9" t="s">
        <v>91</v>
      </c>
      <c r="L9">
        <v>5</v>
      </c>
      <c r="O9" t="s">
        <v>378</v>
      </c>
      <c r="P9">
        <v>2</v>
      </c>
      <c r="S9" t="s">
        <v>266</v>
      </c>
      <c r="T9" s="8">
        <v>120000</v>
      </c>
      <c r="W9" t="s">
        <v>376</v>
      </c>
      <c r="X9" s="8">
        <v>35000</v>
      </c>
      <c r="AC9" t="s">
        <v>428</v>
      </c>
      <c r="AF9">
        <v>35</v>
      </c>
      <c r="AH9" t="s">
        <v>196</v>
      </c>
    </row>
    <row r="10" spans="2:34" x14ac:dyDescent="0.3">
      <c r="B10" t="s">
        <v>14</v>
      </c>
      <c r="C10">
        <v>1</v>
      </c>
      <c r="F10" t="s">
        <v>104</v>
      </c>
      <c r="G10">
        <v>1</v>
      </c>
      <c r="K10" t="s">
        <v>99</v>
      </c>
      <c r="L10">
        <v>5</v>
      </c>
      <c r="O10" t="s">
        <v>381</v>
      </c>
      <c r="P10">
        <v>1</v>
      </c>
      <c r="S10" t="s">
        <v>150</v>
      </c>
      <c r="T10" s="8">
        <v>112500</v>
      </c>
      <c r="W10" t="s">
        <v>364</v>
      </c>
      <c r="X10" s="8">
        <v>25000</v>
      </c>
      <c r="AC10" t="s">
        <v>428</v>
      </c>
      <c r="AF10">
        <v>34</v>
      </c>
      <c r="AH10" t="s">
        <v>196</v>
      </c>
    </row>
    <row r="11" spans="2:34" x14ac:dyDescent="0.3">
      <c r="B11" t="s">
        <v>13</v>
      </c>
      <c r="C11">
        <v>1</v>
      </c>
      <c r="F11" t="s">
        <v>13</v>
      </c>
      <c r="G11">
        <v>1</v>
      </c>
      <c r="K11" t="s">
        <v>150</v>
      </c>
      <c r="L11">
        <v>5</v>
      </c>
      <c r="O11" t="s">
        <v>383</v>
      </c>
      <c r="P11">
        <v>2</v>
      </c>
      <c r="S11" t="s">
        <v>170</v>
      </c>
      <c r="T11" s="8">
        <v>112500</v>
      </c>
      <c r="W11" t="s">
        <v>381</v>
      </c>
      <c r="X11" s="8">
        <v>25000</v>
      </c>
      <c r="AC11" t="s">
        <v>423</v>
      </c>
      <c r="AF11">
        <v>28</v>
      </c>
      <c r="AH11" t="s">
        <v>421</v>
      </c>
    </row>
    <row r="12" spans="2:34" x14ac:dyDescent="0.3">
      <c r="B12" t="s">
        <v>28</v>
      </c>
      <c r="C12">
        <v>1</v>
      </c>
      <c r="F12" t="s">
        <v>388</v>
      </c>
      <c r="G12">
        <v>2</v>
      </c>
      <c r="K12" t="s">
        <v>170</v>
      </c>
      <c r="L12">
        <v>5</v>
      </c>
      <c r="O12" t="s">
        <v>386</v>
      </c>
      <c r="P12">
        <v>4</v>
      </c>
      <c r="S12" t="s">
        <v>95</v>
      </c>
      <c r="T12" s="8">
        <v>105000</v>
      </c>
      <c r="W12" t="s">
        <v>390</v>
      </c>
      <c r="X12" s="8">
        <v>25000</v>
      </c>
      <c r="AC12" t="s">
        <v>423</v>
      </c>
      <c r="AF12">
        <v>40</v>
      </c>
      <c r="AH12" t="s">
        <v>421</v>
      </c>
    </row>
    <row r="13" spans="2:34" x14ac:dyDescent="0.3">
      <c r="B13" t="s">
        <v>18</v>
      </c>
      <c r="C13">
        <v>1</v>
      </c>
      <c r="F13" t="s">
        <v>104</v>
      </c>
      <c r="G13">
        <v>1</v>
      </c>
      <c r="K13" t="s">
        <v>190</v>
      </c>
      <c r="L13">
        <v>5</v>
      </c>
      <c r="O13" t="s">
        <v>390</v>
      </c>
      <c r="P13">
        <v>1</v>
      </c>
      <c r="S13" t="s">
        <v>81</v>
      </c>
      <c r="T13" s="8">
        <v>100000</v>
      </c>
      <c r="W13" t="s">
        <v>366</v>
      </c>
      <c r="X13" s="8">
        <v>12500</v>
      </c>
      <c r="AC13" t="s">
        <v>428</v>
      </c>
      <c r="AF13">
        <v>32</v>
      </c>
      <c r="AH13" t="s">
        <v>197</v>
      </c>
    </row>
    <row r="14" spans="2:34" x14ac:dyDescent="0.3">
      <c r="B14" t="s">
        <v>34</v>
      </c>
      <c r="C14">
        <v>1</v>
      </c>
      <c r="F14" t="s">
        <v>104</v>
      </c>
      <c r="G14">
        <v>1</v>
      </c>
      <c r="K14" t="s">
        <v>280</v>
      </c>
      <c r="L14">
        <v>5</v>
      </c>
      <c r="O14" t="s">
        <v>392</v>
      </c>
      <c r="P14">
        <v>15</v>
      </c>
      <c r="S14" t="s">
        <v>214</v>
      </c>
      <c r="T14" s="8">
        <v>100000</v>
      </c>
      <c r="W14" t="s">
        <v>368</v>
      </c>
      <c r="X14" s="8">
        <v>12500</v>
      </c>
      <c r="AC14" t="s">
        <v>428</v>
      </c>
      <c r="AF14">
        <v>33</v>
      </c>
      <c r="AH14" t="s">
        <v>421</v>
      </c>
    </row>
    <row r="15" spans="2:34" x14ac:dyDescent="0.3">
      <c r="B15" t="s">
        <v>37</v>
      </c>
      <c r="C15">
        <v>2</v>
      </c>
      <c r="F15" t="s">
        <v>388</v>
      </c>
      <c r="G15">
        <v>2</v>
      </c>
      <c r="K15" t="s">
        <v>288</v>
      </c>
      <c r="L15">
        <v>5</v>
      </c>
      <c r="O15" t="s">
        <v>399</v>
      </c>
      <c r="P15">
        <v>6</v>
      </c>
      <c r="S15" t="s">
        <v>280</v>
      </c>
      <c r="T15" s="8">
        <v>92500</v>
      </c>
      <c r="W15" t="s">
        <v>370</v>
      </c>
      <c r="X15" s="8">
        <v>12500</v>
      </c>
      <c r="AC15" t="s">
        <v>434</v>
      </c>
      <c r="AF15">
        <v>28</v>
      </c>
      <c r="AH15" t="s">
        <v>196</v>
      </c>
    </row>
    <row r="16" spans="2:34" x14ac:dyDescent="0.3">
      <c r="B16" t="s">
        <v>38</v>
      </c>
      <c r="C16">
        <v>1</v>
      </c>
      <c r="F16" t="s">
        <v>105</v>
      </c>
      <c r="G16">
        <v>2</v>
      </c>
      <c r="K16" t="s">
        <v>311</v>
      </c>
      <c r="L16">
        <v>5</v>
      </c>
      <c r="O16" t="s">
        <v>400</v>
      </c>
      <c r="P16">
        <v>2</v>
      </c>
      <c r="S16" t="s">
        <v>288</v>
      </c>
      <c r="T16" s="8">
        <v>92500</v>
      </c>
      <c r="W16" t="s">
        <v>373</v>
      </c>
      <c r="X16" s="8">
        <v>12500</v>
      </c>
      <c r="AC16" t="s">
        <v>440</v>
      </c>
      <c r="AF16">
        <v>33</v>
      </c>
      <c r="AH16" t="s">
        <v>422</v>
      </c>
    </row>
    <row r="17" spans="2:34" x14ac:dyDescent="0.3">
      <c r="B17" t="s">
        <v>39</v>
      </c>
      <c r="C17">
        <v>3</v>
      </c>
      <c r="F17" t="s">
        <v>152</v>
      </c>
      <c r="G17">
        <v>4</v>
      </c>
      <c r="K17" t="s">
        <v>337</v>
      </c>
      <c r="L17">
        <v>5</v>
      </c>
      <c r="S17" t="s">
        <v>177</v>
      </c>
      <c r="T17" s="8">
        <v>90000</v>
      </c>
      <c r="AC17" t="s">
        <v>431</v>
      </c>
      <c r="AF17">
        <v>33</v>
      </c>
      <c r="AH17" t="s">
        <v>422</v>
      </c>
    </row>
    <row r="18" spans="2:34" x14ac:dyDescent="0.3">
      <c r="B18" t="s">
        <v>40</v>
      </c>
      <c r="C18">
        <v>1</v>
      </c>
      <c r="F18" t="s">
        <v>14</v>
      </c>
      <c r="G18">
        <v>6</v>
      </c>
      <c r="K18" t="s">
        <v>7</v>
      </c>
      <c r="L18">
        <v>4</v>
      </c>
      <c r="S18" t="s">
        <v>217</v>
      </c>
      <c r="T18" s="8">
        <v>90000</v>
      </c>
      <c r="X18" s="26">
        <f>SUM(X2:X16)</f>
        <v>1123000</v>
      </c>
      <c r="AC18" t="s">
        <v>427</v>
      </c>
      <c r="AF18">
        <v>29</v>
      </c>
      <c r="AH18" t="s">
        <v>196</v>
      </c>
    </row>
    <row r="19" spans="2:34" x14ac:dyDescent="0.3">
      <c r="B19" t="s">
        <v>43</v>
      </c>
      <c r="C19">
        <v>1</v>
      </c>
      <c r="F19" t="s">
        <v>402</v>
      </c>
      <c r="G19">
        <v>2</v>
      </c>
      <c r="K19" t="s">
        <v>49</v>
      </c>
      <c r="L19">
        <v>4</v>
      </c>
      <c r="S19" t="s">
        <v>129</v>
      </c>
      <c r="T19" s="8">
        <v>82500</v>
      </c>
      <c r="AC19" t="s">
        <v>437</v>
      </c>
      <c r="AF19">
        <v>39</v>
      </c>
      <c r="AH19" t="s">
        <v>197</v>
      </c>
    </row>
    <row r="20" spans="2:34" x14ac:dyDescent="0.3">
      <c r="B20" t="s">
        <v>48</v>
      </c>
      <c r="C20">
        <v>2</v>
      </c>
      <c r="K20" t="s">
        <v>51</v>
      </c>
      <c r="L20">
        <v>4</v>
      </c>
      <c r="S20" t="s">
        <v>77</v>
      </c>
      <c r="T20" s="8">
        <v>80000</v>
      </c>
      <c r="AC20" t="s">
        <v>429</v>
      </c>
      <c r="AF20">
        <v>34</v>
      </c>
      <c r="AH20" t="s">
        <v>421</v>
      </c>
    </row>
    <row r="21" spans="2:34" x14ac:dyDescent="0.3">
      <c r="B21" t="s">
        <v>39</v>
      </c>
      <c r="C21">
        <v>3</v>
      </c>
      <c r="G21">
        <f>SUM(Table9[Quantity Sold])</f>
        <v>30</v>
      </c>
      <c r="K21" t="s">
        <v>53</v>
      </c>
      <c r="L21">
        <v>4</v>
      </c>
      <c r="S21" t="s">
        <v>292</v>
      </c>
      <c r="T21" s="8">
        <v>74000</v>
      </c>
      <c r="AC21" t="s">
        <v>430</v>
      </c>
      <c r="AF21">
        <v>35</v>
      </c>
    </row>
    <row r="22" spans="2:34" x14ac:dyDescent="0.3">
      <c r="B22" t="s">
        <v>40</v>
      </c>
      <c r="C22">
        <v>1</v>
      </c>
      <c r="K22" t="s">
        <v>77</v>
      </c>
      <c r="L22">
        <v>4</v>
      </c>
      <c r="S22" t="s">
        <v>203</v>
      </c>
      <c r="T22" s="8">
        <v>67500</v>
      </c>
      <c r="AC22" t="s">
        <v>435</v>
      </c>
      <c r="AF22">
        <v>33</v>
      </c>
    </row>
    <row r="23" spans="2:34" x14ac:dyDescent="0.3">
      <c r="B23" t="s">
        <v>13</v>
      </c>
      <c r="C23">
        <v>2</v>
      </c>
      <c r="K23" t="s">
        <v>81</v>
      </c>
      <c r="L23">
        <v>4</v>
      </c>
      <c r="S23" t="s">
        <v>404</v>
      </c>
      <c r="T23" s="8">
        <v>67500</v>
      </c>
      <c r="AC23" t="s">
        <v>431</v>
      </c>
      <c r="AF23">
        <v>25</v>
      </c>
    </row>
    <row r="24" spans="2:34" x14ac:dyDescent="0.3">
      <c r="B24" t="s">
        <v>40</v>
      </c>
      <c r="C24">
        <v>2</v>
      </c>
      <c r="K24" t="s">
        <v>160</v>
      </c>
      <c r="L24">
        <v>4</v>
      </c>
      <c r="S24" t="s">
        <v>263</v>
      </c>
      <c r="T24" s="8">
        <v>66000</v>
      </c>
      <c r="AC24" t="s">
        <v>429</v>
      </c>
      <c r="AF24">
        <v>33</v>
      </c>
    </row>
    <row r="25" spans="2:34" x14ac:dyDescent="0.3">
      <c r="B25" t="s">
        <v>13</v>
      </c>
      <c r="C25">
        <v>2</v>
      </c>
      <c r="K25" t="s">
        <v>177</v>
      </c>
      <c r="L25">
        <v>4</v>
      </c>
      <c r="S25" t="s">
        <v>311</v>
      </c>
      <c r="T25" s="8">
        <v>65000</v>
      </c>
      <c r="AC25" t="s">
        <v>427</v>
      </c>
      <c r="AF25">
        <v>37</v>
      </c>
    </row>
    <row r="26" spans="2:34" x14ac:dyDescent="0.3">
      <c r="B26" t="s">
        <v>14</v>
      </c>
      <c r="C26">
        <v>2</v>
      </c>
      <c r="K26" t="s">
        <v>194</v>
      </c>
      <c r="L26">
        <v>4</v>
      </c>
      <c r="S26" t="s">
        <v>7</v>
      </c>
      <c r="T26" s="8">
        <v>62000</v>
      </c>
      <c r="AC26" t="s">
        <v>431</v>
      </c>
      <c r="AF26">
        <v>38</v>
      </c>
    </row>
    <row r="27" spans="2:34" x14ac:dyDescent="0.3">
      <c r="B27" t="s">
        <v>89</v>
      </c>
      <c r="C27">
        <v>2</v>
      </c>
      <c r="K27" t="s">
        <v>199</v>
      </c>
      <c r="L27">
        <v>4</v>
      </c>
      <c r="S27" t="s">
        <v>19</v>
      </c>
      <c r="T27" s="8">
        <v>60000</v>
      </c>
      <c r="AC27" t="s">
        <v>438</v>
      </c>
      <c r="AF27">
        <v>39</v>
      </c>
    </row>
    <row r="28" spans="2:34" x14ac:dyDescent="0.3">
      <c r="B28" t="s">
        <v>13</v>
      </c>
      <c r="C28">
        <v>4</v>
      </c>
      <c r="K28" t="s">
        <v>209</v>
      </c>
      <c r="L28">
        <v>4</v>
      </c>
      <c r="S28" t="s">
        <v>87</v>
      </c>
      <c r="T28" s="8">
        <v>60000</v>
      </c>
      <c r="AC28" t="s">
        <v>432</v>
      </c>
      <c r="AF28">
        <v>28</v>
      </c>
    </row>
    <row r="29" spans="2:34" x14ac:dyDescent="0.3">
      <c r="B29" t="s">
        <v>94</v>
      </c>
      <c r="C29">
        <v>1</v>
      </c>
      <c r="K29" t="s">
        <v>214</v>
      </c>
      <c r="L29">
        <v>4</v>
      </c>
      <c r="S29" t="s">
        <v>144</v>
      </c>
      <c r="T29" s="8">
        <v>60000</v>
      </c>
      <c r="AC29" t="s">
        <v>432</v>
      </c>
      <c r="AF29">
        <v>33</v>
      </c>
    </row>
    <row r="30" spans="2:34" x14ac:dyDescent="0.3">
      <c r="B30" t="s">
        <v>103</v>
      </c>
      <c r="C30">
        <v>1</v>
      </c>
      <c r="K30" t="s">
        <v>292</v>
      </c>
      <c r="L30">
        <v>4</v>
      </c>
      <c r="S30" t="s">
        <v>146</v>
      </c>
      <c r="T30" s="8">
        <v>60000</v>
      </c>
      <c r="AC30" t="s">
        <v>428</v>
      </c>
      <c r="AF30">
        <v>35</v>
      </c>
    </row>
    <row r="31" spans="2:34" x14ac:dyDescent="0.3">
      <c r="B31" t="s">
        <v>104</v>
      </c>
      <c r="C31">
        <v>1</v>
      </c>
      <c r="K31" t="s">
        <v>321</v>
      </c>
      <c r="L31">
        <v>4</v>
      </c>
      <c r="S31" t="s">
        <v>148</v>
      </c>
      <c r="T31" s="8">
        <v>60000</v>
      </c>
      <c r="AC31" t="s">
        <v>431</v>
      </c>
      <c r="AF31">
        <v>36</v>
      </c>
    </row>
    <row r="32" spans="2:34" x14ac:dyDescent="0.3">
      <c r="B32" t="s">
        <v>105</v>
      </c>
      <c r="C32">
        <v>1</v>
      </c>
      <c r="K32" t="s">
        <v>5</v>
      </c>
      <c r="L32">
        <v>3</v>
      </c>
      <c r="S32" t="s">
        <v>160</v>
      </c>
      <c r="T32" s="8">
        <v>60000</v>
      </c>
      <c r="AC32" t="s">
        <v>424</v>
      </c>
      <c r="AF32">
        <v>37</v>
      </c>
    </row>
    <row r="33" spans="2:32" x14ac:dyDescent="0.3">
      <c r="B33" t="s">
        <v>111</v>
      </c>
      <c r="C33">
        <v>2</v>
      </c>
      <c r="K33" t="s">
        <v>95</v>
      </c>
      <c r="L33">
        <v>3</v>
      </c>
      <c r="S33" t="s">
        <v>184</v>
      </c>
      <c r="T33" s="8">
        <v>60000</v>
      </c>
      <c r="AC33" t="s">
        <v>424</v>
      </c>
      <c r="AF33">
        <v>39</v>
      </c>
    </row>
    <row r="34" spans="2:32" x14ac:dyDescent="0.3">
      <c r="B34" t="s">
        <v>94</v>
      </c>
      <c r="C34">
        <v>1</v>
      </c>
      <c r="K34" t="s">
        <v>101</v>
      </c>
      <c r="L34">
        <v>3</v>
      </c>
      <c r="S34" t="s">
        <v>219</v>
      </c>
      <c r="T34" s="8">
        <v>60000</v>
      </c>
      <c r="AC34" t="s">
        <v>423</v>
      </c>
    </row>
    <row r="35" spans="2:32" x14ac:dyDescent="0.3">
      <c r="B35" t="s">
        <v>105</v>
      </c>
      <c r="C35">
        <v>1</v>
      </c>
      <c r="K35" t="s">
        <v>117</v>
      </c>
      <c r="L35">
        <v>3</v>
      </c>
      <c r="S35" t="s">
        <v>122</v>
      </c>
      <c r="T35" s="8">
        <v>58500</v>
      </c>
      <c r="AC35" t="s">
        <v>424</v>
      </c>
    </row>
    <row r="36" spans="2:32" x14ac:dyDescent="0.3">
      <c r="B36" t="s">
        <v>13</v>
      </c>
      <c r="C36">
        <v>2</v>
      </c>
      <c r="K36" t="s">
        <v>122</v>
      </c>
      <c r="L36">
        <v>3</v>
      </c>
      <c r="S36" t="s">
        <v>53</v>
      </c>
      <c r="T36" s="8">
        <v>58000</v>
      </c>
      <c r="AC36" t="s">
        <v>431</v>
      </c>
    </row>
    <row r="37" spans="2:32" x14ac:dyDescent="0.3">
      <c r="B37" t="s">
        <v>28</v>
      </c>
      <c r="C37">
        <v>1</v>
      </c>
      <c r="K37" t="s">
        <v>129</v>
      </c>
      <c r="L37">
        <v>3</v>
      </c>
      <c r="S37" t="s">
        <v>35</v>
      </c>
      <c r="T37" s="8">
        <v>56000</v>
      </c>
      <c r="AC37" t="s">
        <v>431</v>
      </c>
    </row>
    <row r="38" spans="2:32" x14ac:dyDescent="0.3">
      <c r="B38" t="s">
        <v>13</v>
      </c>
      <c r="C38">
        <v>3</v>
      </c>
      <c r="K38" t="s">
        <v>184</v>
      </c>
      <c r="L38">
        <v>3</v>
      </c>
      <c r="S38" t="s">
        <v>258</v>
      </c>
      <c r="T38" s="8">
        <v>55500</v>
      </c>
      <c r="AC38" t="s">
        <v>423</v>
      </c>
    </row>
    <row r="39" spans="2:32" x14ac:dyDescent="0.3">
      <c r="B39" t="s">
        <v>104</v>
      </c>
      <c r="C39">
        <v>2</v>
      </c>
      <c r="K39" t="s">
        <v>217</v>
      </c>
      <c r="L39">
        <v>3</v>
      </c>
      <c r="S39" t="s">
        <v>295</v>
      </c>
      <c r="T39" s="8">
        <v>55500</v>
      </c>
      <c r="AC39" t="s">
        <v>435</v>
      </c>
    </row>
    <row r="40" spans="2:32" x14ac:dyDescent="0.3">
      <c r="B40" t="s">
        <v>1</v>
      </c>
      <c r="C40">
        <v>1</v>
      </c>
      <c r="K40" t="s">
        <v>258</v>
      </c>
      <c r="L40">
        <v>3</v>
      </c>
      <c r="S40" t="s">
        <v>132</v>
      </c>
      <c r="T40" s="8">
        <v>55000</v>
      </c>
      <c r="AC40" t="s">
        <v>423</v>
      </c>
    </row>
    <row r="41" spans="2:32" x14ac:dyDescent="0.3">
      <c r="B41" t="s">
        <v>38</v>
      </c>
      <c r="C41">
        <v>1</v>
      </c>
      <c r="K41" t="s">
        <v>263</v>
      </c>
      <c r="L41">
        <v>3</v>
      </c>
      <c r="S41" t="s">
        <v>321</v>
      </c>
      <c r="T41" s="8">
        <v>54000</v>
      </c>
      <c r="AC41" t="s">
        <v>431</v>
      </c>
    </row>
    <row r="42" spans="2:32" x14ac:dyDescent="0.3">
      <c r="B42" t="s">
        <v>152</v>
      </c>
      <c r="C42">
        <v>1</v>
      </c>
      <c r="K42" t="s">
        <v>295</v>
      </c>
      <c r="L42">
        <v>3</v>
      </c>
      <c r="S42" t="s">
        <v>11</v>
      </c>
      <c r="T42" s="8">
        <v>52500</v>
      </c>
      <c r="AC42" t="s">
        <v>423</v>
      </c>
    </row>
    <row r="43" spans="2:32" x14ac:dyDescent="0.3">
      <c r="B43" t="s">
        <v>153</v>
      </c>
      <c r="C43">
        <v>1</v>
      </c>
      <c r="K43" t="s">
        <v>303</v>
      </c>
      <c r="L43">
        <v>3</v>
      </c>
      <c r="S43" t="s">
        <v>334</v>
      </c>
      <c r="T43" s="8">
        <v>52000</v>
      </c>
      <c r="AC43" t="s">
        <v>431</v>
      </c>
    </row>
    <row r="44" spans="2:32" x14ac:dyDescent="0.3">
      <c r="B44" t="s">
        <v>154</v>
      </c>
      <c r="C44">
        <v>1</v>
      </c>
      <c r="K44" t="s">
        <v>404</v>
      </c>
      <c r="L44">
        <v>3</v>
      </c>
      <c r="S44" t="s">
        <v>55</v>
      </c>
      <c r="T44" s="8">
        <v>50000</v>
      </c>
      <c r="AC44" t="s">
        <v>432</v>
      </c>
    </row>
    <row r="45" spans="2:32" x14ac:dyDescent="0.3">
      <c r="B45" t="s">
        <v>157</v>
      </c>
      <c r="C45">
        <v>1</v>
      </c>
      <c r="K45" t="s">
        <v>19</v>
      </c>
      <c r="L45">
        <v>2</v>
      </c>
      <c r="S45" t="s">
        <v>67</v>
      </c>
      <c r="T45" s="8">
        <v>50000</v>
      </c>
      <c r="AC45" t="s">
        <v>432</v>
      </c>
    </row>
    <row r="46" spans="2:32" x14ac:dyDescent="0.3">
      <c r="B46" t="s">
        <v>152</v>
      </c>
      <c r="C46">
        <v>1</v>
      </c>
      <c r="K46" t="s">
        <v>46</v>
      </c>
      <c r="L46">
        <v>2</v>
      </c>
      <c r="S46" t="s">
        <v>74</v>
      </c>
      <c r="T46" s="8">
        <v>50000</v>
      </c>
      <c r="AC46" t="s">
        <v>432</v>
      </c>
    </row>
    <row r="47" spans="2:32" x14ac:dyDescent="0.3">
      <c r="B47" t="s">
        <v>40</v>
      </c>
      <c r="C47">
        <v>1</v>
      </c>
      <c r="K47" t="s">
        <v>55</v>
      </c>
      <c r="L47">
        <v>2</v>
      </c>
      <c r="S47" t="s">
        <v>260</v>
      </c>
      <c r="T47" s="8">
        <v>50000</v>
      </c>
      <c r="AC47" t="s">
        <v>432</v>
      </c>
    </row>
    <row r="48" spans="2:32" x14ac:dyDescent="0.3">
      <c r="B48" t="s">
        <v>28</v>
      </c>
      <c r="C48">
        <v>1</v>
      </c>
      <c r="K48" t="s">
        <v>67</v>
      </c>
      <c r="L48">
        <v>2</v>
      </c>
      <c r="S48" t="s">
        <v>135</v>
      </c>
      <c r="T48" s="8">
        <v>47000</v>
      </c>
      <c r="AC48" t="s">
        <v>432</v>
      </c>
    </row>
    <row r="49" spans="2:29" x14ac:dyDescent="0.3">
      <c r="B49" t="s">
        <v>94</v>
      </c>
      <c r="C49">
        <v>1</v>
      </c>
      <c r="K49" t="s">
        <v>71</v>
      </c>
      <c r="L49">
        <v>2</v>
      </c>
      <c r="S49" t="s">
        <v>164</v>
      </c>
      <c r="T49" s="8">
        <v>45000</v>
      </c>
      <c r="AC49" t="s">
        <v>434</v>
      </c>
    </row>
    <row r="50" spans="2:29" x14ac:dyDescent="0.3">
      <c r="B50" t="s">
        <v>48</v>
      </c>
      <c r="C50">
        <v>1</v>
      </c>
      <c r="K50" t="s">
        <v>74</v>
      </c>
      <c r="L50">
        <v>2</v>
      </c>
      <c r="S50" t="s">
        <v>51</v>
      </c>
      <c r="T50" s="8">
        <v>42000</v>
      </c>
      <c r="AC50" t="s">
        <v>438</v>
      </c>
    </row>
    <row r="51" spans="2:29" x14ac:dyDescent="0.3">
      <c r="B51" t="s">
        <v>94</v>
      </c>
      <c r="C51">
        <v>5</v>
      </c>
      <c r="K51" t="s">
        <v>87</v>
      </c>
      <c r="L51">
        <v>2</v>
      </c>
      <c r="S51" t="s">
        <v>71</v>
      </c>
      <c r="T51" s="8">
        <v>40000</v>
      </c>
      <c r="AC51" t="s">
        <v>426</v>
      </c>
    </row>
    <row r="52" spans="2:29" x14ac:dyDescent="0.3">
      <c r="B52" t="s">
        <v>175</v>
      </c>
      <c r="C52">
        <v>1</v>
      </c>
      <c r="K52" t="s">
        <v>109</v>
      </c>
      <c r="L52">
        <v>2</v>
      </c>
      <c r="S52" t="s">
        <v>109</v>
      </c>
      <c r="T52" s="8">
        <v>40000</v>
      </c>
      <c r="AC52" t="s">
        <v>428</v>
      </c>
    </row>
    <row r="53" spans="2:29" x14ac:dyDescent="0.3">
      <c r="B53" t="s">
        <v>152</v>
      </c>
      <c r="C53">
        <v>1</v>
      </c>
      <c r="K53" t="s">
        <v>113</v>
      </c>
      <c r="L53">
        <v>2</v>
      </c>
      <c r="S53" t="s">
        <v>187</v>
      </c>
      <c r="T53" s="8">
        <v>40000</v>
      </c>
      <c r="AC53" t="s">
        <v>428</v>
      </c>
    </row>
    <row r="54" spans="2:29" x14ac:dyDescent="0.3">
      <c r="B54" t="s">
        <v>48</v>
      </c>
      <c r="C54">
        <v>1</v>
      </c>
      <c r="K54" t="s">
        <v>132</v>
      </c>
      <c r="L54">
        <v>2</v>
      </c>
      <c r="S54" t="s">
        <v>209</v>
      </c>
      <c r="T54" s="8">
        <v>40000</v>
      </c>
      <c r="AC54" t="s">
        <v>432</v>
      </c>
    </row>
    <row r="55" spans="2:29" x14ac:dyDescent="0.3">
      <c r="B55" t="s">
        <v>152</v>
      </c>
      <c r="C55">
        <v>3</v>
      </c>
      <c r="K55" t="s">
        <v>135</v>
      </c>
      <c r="L55">
        <v>2</v>
      </c>
      <c r="S55" t="s">
        <v>251</v>
      </c>
      <c r="T55" s="8">
        <v>40000</v>
      </c>
      <c r="AC55" t="s">
        <v>428</v>
      </c>
    </row>
    <row r="56" spans="2:29" x14ac:dyDescent="0.3">
      <c r="B56" t="s">
        <v>182</v>
      </c>
      <c r="C56">
        <v>1</v>
      </c>
      <c r="K56" t="s">
        <v>144</v>
      </c>
      <c r="L56">
        <v>2</v>
      </c>
      <c r="S56" t="s">
        <v>276</v>
      </c>
      <c r="T56" s="8">
        <v>40000</v>
      </c>
      <c r="AC56" t="s">
        <v>439</v>
      </c>
    </row>
    <row r="57" spans="2:29" x14ac:dyDescent="0.3">
      <c r="B57" t="s">
        <v>192</v>
      </c>
      <c r="C57">
        <v>1</v>
      </c>
      <c r="K57" t="s">
        <v>146</v>
      </c>
      <c r="L57">
        <v>2</v>
      </c>
      <c r="S57" t="s">
        <v>319</v>
      </c>
      <c r="T57" s="8">
        <v>40000</v>
      </c>
      <c r="AC57" t="s">
        <v>439</v>
      </c>
    </row>
    <row r="58" spans="2:29" x14ac:dyDescent="0.3">
      <c r="B58" t="s">
        <v>28</v>
      </c>
      <c r="C58">
        <v>2</v>
      </c>
      <c r="K58" t="s">
        <v>148</v>
      </c>
      <c r="L58">
        <v>2</v>
      </c>
      <c r="S58" t="s">
        <v>355</v>
      </c>
      <c r="T58" s="8">
        <v>40000</v>
      </c>
      <c r="AC58" t="s">
        <v>423</v>
      </c>
    </row>
    <row r="59" spans="2:29" x14ac:dyDescent="0.3">
      <c r="B59" t="s">
        <v>39</v>
      </c>
      <c r="C59">
        <v>2</v>
      </c>
      <c r="K59" t="s">
        <v>164</v>
      </c>
      <c r="L59">
        <v>2</v>
      </c>
      <c r="S59" t="s">
        <v>303</v>
      </c>
      <c r="T59" s="8">
        <v>39000</v>
      </c>
      <c r="AC59" t="s">
        <v>423</v>
      </c>
    </row>
    <row r="60" spans="2:29" x14ac:dyDescent="0.3">
      <c r="B60" t="s">
        <v>94</v>
      </c>
      <c r="C60">
        <v>1</v>
      </c>
      <c r="K60" t="s">
        <v>167</v>
      </c>
      <c r="L60">
        <v>2</v>
      </c>
      <c r="S60" t="s">
        <v>49</v>
      </c>
      <c r="T60" s="8">
        <v>38000</v>
      </c>
      <c r="AC60" t="s">
        <v>424</v>
      </c>
    </row>
    <row r="61" spans="2:29" x14ac:dyDescent="0.3">
      <c r="B61" t="s">
        <v>48</v>
      </c>
      <c r="C61">
        <v>1</v>
      </c>
      <c r="K61" t="s">
        <v>174</v>
      </c>
      <c r="L61">
        <v>2</v>
      </c>
      <c r="S61" t="s">
        <v>5</v>
      </c>
      <c r="T61" s="8">
        <v>37500</v>
      </c>
      <c r="AC61" t="s">
        <v>423</v>
      </c>
    </row>
    <row r="62" spans="2:29" x14ac:dyDescent="0.3">
      <c r="B62" t="s">
        <v>105</v>
      </c>
      <c r="C62">
        <v>1</v>
      </c>
      <c r="K62" t="s">
        <v>187</v>
      </c>
      <c r="L62">
        <v>2</v>
      </c>
      <c r="S62" t="s">
        <v>285</v>
      </c>
      <c r="T62" s="8">
        <v>37000</v>
      </c>
      <c r="AC62" t="s">
        <v>429</v>
      </c>
    </row>
    <row r="63" spans="2:29" x14ac:dyDescent="0.3">
      <c r="B63" t="s">
        <v>14</v>
      </c>
      <c r="C63">
        <v>1</v>
      </c>
      <c r="K63" t="s">
        <v>219</v>
      </c>
      <c r="L63">
        <v>2</v>
      </c>
      <c r="S63" t="s">
        <v>300</v>
      </c>
      <c r="T63" s="8">
        <v>37000</v>
      </c>
      <c r="AC63" t="s">
        <v>423</v>
      </c>
    </row>
    <row r="64" spans="2:29" x14ac:dyDescent="0.3">
      <c r="B64" t="s">
        <v>13</v>
      </c>
      <c r="C64">
        <v>1</v>
      </c>
      <c r="K64" t="s">
        <v>251</v>
      </c>
      <c r="L64">
        <v>2</v>
      </c>
      <c r="S64" t="s">
        <v>113</v>
      </c>
      <c r="T64" s="8">
        <v>36000</v>
      </c>
      <c r="AC64" t="s">
        <v>431</v>
      </c>
    </row>
    <row r="65" spans="2:29" x14ac:dyDescent="0.3">
      <c r="B65" t="s">
        <v>201</v>
      </c>
      <c r="C65">
        <v>1</v>
      </c>
      <c r="K65" t="s">
        <v>260</v>
      </c>
      <c r="L65">
        <v>2</v>
      </c>
      <c r="S65" t="s">
        <v>117</v>
      </c>
      <c r="T65" s="8">
        <v>36000</v>
      </c>
      <c r="AC65" t="s">
        <v>427</v>
      </c>
    </row>
    <row r="66" spans="2:29" x14ac:dyDescent="0.3">
      <c r="B66" t="s">
        <v>14</v>
      </c>
      <c r="C66">
        <v>1</v>
      </c>
      <c r="K66" t="s">
        <v>273</v>
      </c>
      <c r="L66">
        <v>2</v>
      </c>
      <c r="S66" t="s">
        <v>194</v>
      </c>
      <c r="T66" s="8">
        <v>36000</v>
      </c>
      <c r="AC66" t="s">
        <v>431</v>
      </c>
    </row>
    <row r="67" spans="2:29" x14ac:dyDescent="0.3">
      <c r="B67" t="s">
        <v>94</v>
      </c>
      <c r="C67">
        <v>1</v>
      </c>
      <c r="K67" t="s">
        <v>276</v>
      </c>
      <c r="L67">
        <v>2</v>
      </c>
      <c r="S67" t="s">
        <v>199</v>
      </c>
      <c r="T67" s="8">
        <v>36000</v>
      </c>
      <c r="AC67" t="s">
        <v>423</v>
      </c>
    </row>
    <row r="68" spans="2:29" x14ac:dyDescent="0.3">
      <c r="B68" t="s">
        <v>205</v>
      </c>
      <c r="C68">
        <v>1</v>
      </c>
      <c r="K68" t="s">
        <v>285</v>
      </c>
      <c r="L68">
        <v>2</v>
      </c>
      <c r="S68" t="s">
        <v>26</v>
      </c>
      <c r="T68" s="8">
        <v>35000</v>
      </c>
      <c r="AC68" t="s">
        <v>423</v>
      </c>
    </row>
    <row r="69" spans="2:29" x14ac:dyDescent="0.3">
      <c r="B69" t="s">
        <v>31</v>
      </c>
      <c r="C69">
        <v>2</v>
      </c>
      <c r="K69" t="s">
        <v>300</v>
      </c>
      <c r="L69">
        <v>2</v>
      </c>
      <c r="S69" t="s">
        <v>249</v>
      </c>
      <c r="T69" s="8">
        <v>35000</v>
      </c>
      <c r="AC69" t="s">
        <v>427</v>
      </c>
    </row>
    <row r="70" spans="2:29" x14ac:dyDescent="0.3">
      <c r="B70" t="s">
        <v>208</v>
      </c>
      <c r="C70">
        <v>6</v>
      </c>
      <c r="K70" t="s">
        <v>317</v>
      </c>
      <c r="L70">
        <v>2</v>
      </c>
      <c r="S70" t="s">
        <v>403</v>
      </c>
      <c r="T70" s="8">
        <v>31000</v>
      </c>
      <c r="AC70" t="s">
        <v>439</v>
      </c>
    </row>
    <row r="71" spans="2:29" x14ac:dyDescent="0.3">
      <c r="B71" t="s">
        <v>211</v>
      </c>
      <c r="C71">
        <v>1</v>
      </c>
      <c r="K71" t="s">
        <v>319</v>
      </c>
      <c r="L71">
        <v>2</v>
      </c>
      <c r="S71" t="s">
        <v>29</v>
      </c>
      <c r="T71" s="8">
        <v>30000</v>
      </c>
      <c r="AC71" t="s">
        <v>430</v>
      </c>
    </row>
    <row r="72" spans="2:29" x14ac:dyDescent="0.3">
      <c r="B72" t="s">
        <v>31</v>
      </c>
      <c r="C72">
        <v>1</v>
      </c>
      <c r="K72" t="s">
        <v>323</v>
      </c>
      <c r="L72">
        <v>2</v>
      </c>
      <c r="S72" t="s">
        <v>46</v>
      </c>
      <c r="T72" s="8">
        <v>30000</v>
      </c>
      <c r="AC72" t="s">
        <v>424</v>
      </c>
    </row>
    <row r="73" spans="2:29" x14ac:dyDescent="0.3">
      <c r="B73" t="s">
        <v>2</v>
      </c>
      <c r="C73">
        <v>1</v>
      </c>
      <c r="K73" t="s">
        <v>334</v>
      </c>
      <c r="L73">
        <v>2</v>
      </c>
      <c r="S73" t="s">
        <v>190</v>
      </c>
      <c r="T73" s="8">
        <v>30000</v>
      </c>
      <c r="AC73" t="s">
        <v>423</v>
      </c>
    </row>
    <row r="74" spans="2:29" x14ac:dyDescent="0.3">
      <c r="B74" t="s">
        <v>104</v>
      </c>
      <c r="C74">
        <v>1</v>
      </c>
      <c r="K74" t="s">
        <v>403</v>
      </c>
      <c r="L74">
        <v>2</v>
      </c>
      <c r="S74" t="s">
        <v>212</v>
      </c>
      <c r="T74" s="8">
        <v>30000</v>
      </c>
      <c r="AC74" t="s">
        <v>430</v>
      </c>
    </row>
    <row r="75" spans="2:29" x14ac:dyDescent="0.3">
      <c r="B75" t="s">
        <v>216</v>
      </c>
      <c r="C75">
        <v>1</v>
      </c>
      <c r="K75" t="s">
        <v>355</v>
      </c>
      <c r="L75">
        <v>2</v>
      </c>
      <c r="S75" t="s">
        <v>359</v>
      </c>
      <c r="T75" s="8">
        <v>30000</v>
      </c>
      <c r="AC75" t="s">
        <v>435</v>
      </c>
    </row>
    <row r="76" spans="2:29" x14ac:dyDescent="0.3">
      <c r="B76" t="s">
        <v>38</v>
      </c>
      <c r="C76">
        <v>2</v>
      </c>
      <c r="K76" t="s">
        <v>9</v>
      </c>
      <c r="L76">
        <v>1</v>
      </c>
      <c r="S76" t="s">
        <v>273</v>
      </c>
      <c r="T76" s="8">
        <v>28000</v>
      </c>
      <c r="AC76" t="s">
        <v>431</v>
      </c>
    </row>
    <row r="77" spans="2:29" x14ac:dyDescent="0.3">
      <c r="B77" t="s">
        <v>94</v>
      </c>
      <c r="C77">
        <v>1</v>
      </c>
      <c r="K77" t="s">
        <v>16</v>
      </c>
      <c r="L77">
        <v>1</v>
      </c>
      <c r="S77" t="s">
        <v>323</v>
      </c>
      <c r="T77" s="8">
        <v>27000</v>
      </c>
      <c r="AC77" t="s">
        <v>431</v>
      </c>
    </row>
    <row r="78" spans="2:29" x14ac:dyDescent="0.3">
      <c r="B78" t="s">
        <v>152</v>
      </c>
      <c r="C78">
        <v>1</v>
      </c>
      <c r="K78" t="s">
        <v>21</v>
      </c>
      <c r="L78">
        <v>1</v>
      </c>
      <c r="S78" t="s">
        <v>317</v>
      </c>
      <c r="T78" s="8">
        <v>26000</v>
      </c>
      <c r="AC78" t="s">
        <v>431</v>
      </c>
    </row>
    <row r="79" spans="2:29" x14ac:dyDescent="0.3">
      <c r="B79" t="s">
        <v>104</v>
      </c>
      <c r="C79">
        <v>1</v>
      </c>
      <c r="K79" t="s">
        <v>23</v>
      </c>
      <c r="L79">
        <v>1</v>
      </c>
      <c r="S79" t="s">
        <v>9</v>
      </c>
      <c r="T79" s="8">
        <v>25000</v>
      </c>
      <c r="AC79" t="s">
        <v>423</v>
      </c>
    </row>
    <row r="80" spans="2:29" x14ac:dyDescent="0.3">
      <c r="B80" t="s">
        <v>13</v>
      </c>
      <c r="C80">
        <v>1</v>
      </c>
      <c r="K80" t="s">
        <v>26</v>
      </c>
      <c r="L80">
        <v>1</v>
      </c>
      <c r="S80" t="s">
        <v>79</v>
      </c>
      <c r="T80" s="8">
        <v>25000</v>
      </c>
      <c r="AC80" t="s">
        <v>430</v>
      </c>
    </row>
    <row r="81" spans="2:29" x14ac:dyDescent="0.3">
      <c r="B81" t="s">
        <v>14</v>
      </c>
      <c r="C81">
        <v>1</v>
      </c>
      <c r="K81" t="s">
        <v>29</v>
      </c>
      <c r="L81">
        <v>1</v>
      </c>
      <c r="S81" t="s">
        <v>167</v>
      </c>
      <c r="T81" s="8">
        <v>25000</v>
      </c>
      <c r="AC81" t="s">
        <v>427</v>
      </c>
    </row>
    <row r="82" spans="2:29" x14ac:dyDescent="0.3">
      <c r="B82" t="s">
        <v>224</v>
      </c>
      <c r="C82">
        <v>1</v>
      </c>
      <c r="K82" t="s">
        <v>32</v>
      </c>
      <c r="L82">
        <v>1</v>
      </c>
      <c r="S82" t="s">
        <v>253</v>
      </c>
      <c r="T82" s="8">
        <v>25000</v>
      </c>
      <c r="AC82" t="s">
        <v>428</v>
      </c>
    </row>
    <row r="83" spans="2:29" x14ac:dyDescent="0.3">
      <c r="B83" t="s">
        <v>2</v>
      </c>
      <c r="C83">
        <v>1</v>
      </c>
      <c r="K83" t="s">
        <v>41</v>
      </c>
      <c r="L83">
        <v>1</v>
      </c>
      <c r="S83" t="s">
        <v>406</v>
      </c>
      <c r="T83" s="8">
        <v>25000</v>
      </c>
      <c r="AC83" t="s">
        <v>432</v>
      </c>
    </row>
    <row r="84" spans="2:29" x14ac:dyDescent="0.3">
      <c r="B84" t="s">
        <v>94</v>
      </c>
      <c r="C84">
        <v>1</v>
      </c>
      <c r="K84" t="s">
        <v>44</v>
      </c>
      <c r="L84">
        <v>1</v>
      </c>
      <c r="S84" t="s">
        <v>141</v>
      </c>
      <c r="T84" s="8">
        <v>23000</v>
      </c>
      <c r="AC84" t="s">
        <v>424</v>
      </c>
    </row>
    <row r="85" spans="2:29" x14ac:dyDescent="0.3">
      <c r="B85" t="s">
        <v>103</v>
      </c>
      <c r="C85">
        <v>1</v>
      </c>
      <c r="K85" t="s">
        <v>79</v>
      </c>
      <c r="L85">
        <v>1</v>
      </c>
      <c r="S85" t="s">
        <v>138</v>
      </c>
      <c r="T85" s="8">
        <v>22500</v>
      </c>
      <c r="AC85" t="s">
        <v>427</v>
      </c>
    </row>
    <row r="86" spans="2:29" x14ac:dyDescent="0.3">
      <c r="B86" t="s">
        <v>14</v>
      </c>
      <c r="C86">
        <v>1</v>
      </c>
      <c r="K86" t="s">
        <v>84</v>
      </c>
      <c r="L86">
        <v>1</v>
      </c>
      <c r="S86" t="s">
        <v>155</v>
      </c>
      <c r="T86" s="8">
        <v>22500</v>
      </c>
      <c r="AC86" t="s">
        <v>430</v>
      </c>
    </row>
    <row r="87" spans="2:29" x14ac:dyDescent="0.3">
      <c r="B87" t="s">
        <v>104</v>
      </c>
      <c r="C87">
        <v>2</v>
      </c>
      <c r="K87" t="s">
        <v>106</v>
      </c>
      <c r="L87">
        <v>1</v>
      </c>
      <c r="S87" t="s">
        <v>162</v>
      </c>
      <c r="T87" s="8">
        <v>22500</v>
      </c>
      <c r="AC87" t="s">
        <v>430</v>
      </c>
    </row>
    <row r="88" spans="2:29" x14ac:dyDescent="0.3">
      <c r="B88" t="s">
        <v>48</v>
      </c>
      <c r="C88">
        <v>1</v>
      </c>
      <c r="K88" t="s">
        <v>120</v>
      </c>
      <c r="L88">
        <v>1</v>
      </c>
      <c r="S88" t="s">
        <v>326</v>
      </c>
      <c r="T88" s="8">
        <v>22500</v>
      </c>
      <c r="AC88" t="s">
        <v>432</v>
      </c>
    </row>
    <row r="89" spans="2:29" x14ac:dyDescent="0.3">
      <c r="B89" t="s">
        <v>43</v>
      </c>
      <c r="C89">
        <v>1</v>
      </c>
      <c r="K89" t="s">
        <v>126</v>
      </c>
      <c r="L89">
        <v>1</v>
      </c>
      <c r="S89" t="s">
        <v>330</v>
      </c>
      <c r="T89" s="8">
        <v>22500</v>
      </c>
      <c r="AC89" t="s">
        <v>427</v>
      </c>
    </row>
    <row r="90" spans="2:29" x14ac:dyDescent="0.3">
      <c r="B90" t="s">
        <v>103</v>
      </c>
      <c r="C90">
        <v>1</v>
      </c>
      <c r="K90" t="s">
        <v>138</v>
      </c>
      <c r="L90">
        <v>1</v>
      </c>
      <c r="S90" t="s">
        <v>16</v>
      </c>
      <c r="T90" s="8">
        <v>20000</v>
      </c>
      <c r="AC90" t="s">
        <v>431</v>
      </c>
    </row>
    <row r="91" spans="2:29" x14ac:dyDescent="0.3">
      <c r="B91" t="s">
        <v>38</v>
      </c>
      <c r="C91">
        <v>1</v>
      </c>
      <c r="K91" t="s">
        <v>141</v>
      </c>
      <c r="L91">
        <v>1</v>
      </c>
      <c r="S91" t="s">
        <v>84</v>
      </c>
      <c r="T91" s="8">
        <v>20000</v>
      </c>
      <c r="AC91" t="s">
        <v>424</v>
      </c>
    </row>
    <row r="92" spans="2:29" x14ac:dyDescent="0.3">
      <c r="B92" t="s">
        <v>104</v>
      </c>
      <c r="C92">
        <v>1</v>
      </c>
      <c r="K92" t="s">
        <v>155</v>
      </c>
      <c r="L92">
        <v>1</v>
      </c>
      <c r="S92" t="s">
        <v>158</v>
      </c>
      <c r="T92" s="8">
        <v>20000</v>
      </c>
      <c r="AC92" t="s">
        <v>429</v>
      </c>
    </row>
    <row r="93" spans="2:29" x14ac:dyDescent="0.3">
      <c r="B93" t="s">
        <v>38</v>
      </c>
      <c r="C93">
        <v>1</v>
      </c>
      <c r="K93" t="s">
        <v>158</v>
      </c>
      <c r="L93">
        <v>1</v>
      </c>
      <c r="S93" t="s">
        <v>180</v>
      </c>
      <c r="T93" s="8">
        <v>20000</v>
      </c>
      <c r="AC93" t="s">
        <v>432</v>
      </c>
    </row>
    <row r="94" spans="2:29" x14ac:dyDescent="0.3">
      <c r="B94" t="s">
        <v>104</v>
      </c>
      <c r="C94">
        <v>1</v>
      </c>
      <c r="K94" t="s">
        <v>162</v>
      </c>
      <c r="L94">
        <v>1</v>
      </c>
      <c r="S94" t="s">
        <v>255</v>
      </c>
      <c r="T94" s="8">
        <v>18500</v>
      </c>
      <c r="AC94" t="s">
        <v>431</v>
      </c>
    </row>
    <row r="95" spans="2:29" x14ac:dyDescent="0.3">
      <c r="B95" t="s">
        <v>94</v>
      </c>
      <c r="C95">
        <v>1</v>
      </c>
      <c r="K95" t="s">
        <v>180</v>
      </c>
      <c r="L95">
        <v>1</v>
      </c>
      <c r="S95" t="s">
        <v>268</v>
      </c>
      <c r="T95" s="8">
        <v>18500</v>
      </c>
      <c r="AC95" t="s">
        <v>428</v>
      </c>
    </row>
    <row r="96" spans="2:29" x14ac:dyDescent="0.3">
      <c r="B96" t="s">
        <v>104</v>
      </c>
      <c r="C96">
        <v>1</v>
      </c>
      <c r="K96" t="s">
        <v>202</v>
      </c>
      <c r="L96">
        <v>1</v>
      </c>
      <c r="S96" t="s">
        <v>297</v>
      </c>
      <c r="T96" s="8">
        <v>18500</v>
      </c>
      <c r="AC96" t="s">
        <v>435</v>
      </c>
    </row>
    <row r="97" spans="2:29" x14ac:dyDescent="0.3">
      <c r="B97" t="s">
        <v>94</v>
      </c>
      <c r="C97">
        <v>1</v>
      </c>
      <c r="K97" t="s">
        <v>212</v>
      </c>
      <c r="L97">
        <v>1</v>
      </c>
      <c r="S97" t="s">
        <v>106</v>
      </c>
      <c r="T97" s="8">
        <v>17500</v>
      </c>
      <c r="AC97" t="s">
        <v>439</v>
      </c>
    </row>
    <row r="98" spans="2:29" x14ac:dyDescent="0.3">
      <c r="B98" t="s">
        <v>105</v>
      </c>
      <c r="C98">
        <v>1</v>
      </c>
      <c r="K98" t="s">
        <v>249</v>
      </c>
      <c r="L98">
        <v>1</v>
      </c>
      <c r="S98" t="s">
        <v>307</v>
      </c>
      <c r="T98" s="8">
        <v>15500</v>
      </c>
      <c r="AC98" t="s">
        <v>428</v>
      </c>
    </row>
    <row r="99" spans="2:29" x14ac:dyDescent="0.3">
      <c r="B99" t="s">
        <v>38</v>
      </c>
      <c r="C99">
        <v>1</v>
      </c>
      <c r="K99" t="s">
        <v>253</v>
      </c>
      <c r="L99">
        <v>1</v>
      </c>
      <c r="S99" t="s">
        <v>340</v>
      </c>
      <c r="T99" s="8">
        <v>15500</v>
      </c>
      <c r="AC99" t="s">
        <v>428</v>
      </c>
    </row>
    <row r="100" spans="2:29" x14ac:dyDescent="0.3">
      <c r="B100" t="s">
        <v>14</v>
      </c>
      <c r="C100">
        <v>1</v>
      </c>
      <c r="K100" t="s">
        <v>255</v>
      </c>
      <c r="L100">
        <v>1</v>
      </c>
      <c r="S100" t="s">
        <v>343</v>
      </c>
      <c r="T100" s="8">
        <v>15500</v>
      </c>
      <c r="AC100" t="s">
        <v>431</v>
      </c>
    </row>
    <row r="101" spans="2:29" x14ac:dyDescent="0.3">
      <c r="B101" t="s">
        <v>38</v>
      </c>
      <c r="C101">
        <v>3</v>
      </c>
      <c r="K101" t="s">
        <v>268</v>
      </c>
      <c r="L101">
        <v>1</v>
      </c>
      <c r="S101" t="s">
        <v>348</v>
      </c>
      <c r="T101" s="8">
        <v>15500</v>
      </c>
      <c r="AC101" t="s">
        <v>429</v>
      </c>
    </row>
    <row r="102" spans="2:29" x14ac:dyDescent="0.3">
      <c r="B102" t="s">
        <v>104</v>
      </c>
      <c r="C102">
        <v>4</v>
      </c>
      <c r="K102" t="s">
        <v>297</v>
      </c>
      <c r="L102">
        <v>1</v>
      </c>
      <c r="S102" t="s">
        <v>349</v>
      </c>
      <c r="T102" s="8">
        <v>15500</v>
      </c>
      <c r="AC102" t="s">
        <v>432</v>
      </c>
    </row>
    <row r="103" spans="2:29" x14ac:dyDescent="0.3">
      <c r="B103" t="s">
        <v>247</v>
      </c>
      <c r="C103">
        <v>7</v>
      </c>
      <c r="K103" t="s">
        <v>305</v>
      </c>
      <c r="L103">
        <v>1</v>
      </c>
      <c r="S103" t="s">
        <v>352</v>
      </c>
      <c r="T103" s="8">
        <v>15500</v>
      </c>
      <c r="AC103" t="s">
        <v>430</v>
      </c>
    </row>
    <row r="104" spans="2:29" x14ac:dyDescent="0.3">
      <c r="B104" t="s">
        <v>28</v>
      </c>
      <c r="C104">
        <v>5</v>
      </c>
      <c r="K104" t="s">
        <v>307</v>
      </c>
      <c r="L104">
        <v>1</v>
      </c>
      <c r="S104" t="s">
        <v>305</v>
      </c>
      <c r="T104" s="8">
        <v>13000</v>
      </c>
      <c r="AC104" t="s">
        <v>439</v>
      </c>
    </row>
    <row r="105" spans="2:29" x14ac:dyDescent="0.3">
      <c r="B105" t="s">
        <v>104</v>
      </c>
      <c r="C105">
        <v>8</v>
      </c>
      <c r="K105" t="s">
        <v>309</v>
      </c>
      <c r="L105">
        <v>1</v>
      </c>
      <c r="S105" t="s">
        <v>332</v>
      </c>
      <c r="T105" s="8">
        <v>13000</v>
      </c>
      <c r="AC105" t="s">
        <v>433</v>
      </c>
    </row>
    <row r="106" spans="2:29" x14ac:dyDescent="0.3">
      <c r="B106" t="s">
        <v>278</v>
      </c>
      <c r="C106">
        <v>2</v>
      </c>
      <c r="K106" t="s">
        <v>326</v>
      </c>
      <c r="L106">
        <v>1</v>
      </c>
      <c r="S106" t="s">
        <v>44</v>
      </c>
      <c r="T106" s="8">
        <v>12000</v>
      </c>
      <c r="AC106" t="s">
        <v>423</v>
      </c>
    </row>
    <row r="107" spans="2:29" x14ac:dyDescent="0.3">
      <c r="B107" t="s">
        <v>278</v>
      </c>
      <c r="C107">
        <v>3</v>
      </c>
      <c r="K107" t="s">
        <v>330</v>
      </c>
      <c r="L107">
        <v>1</v>
      </c>
      <c r="S107" t="s">
        <v>41</v>
      </c>
      <c r="T107" s="8">
        <v>11500</v>
      </c>
      <c r="AC107" t="s">
        <v>428</v>
      </c>
    </row>
    <row r="108" spans="2:29" x14ac:dyDescent="0.3">
      <c r="B108" t="s">
        <v>283</v>
      </c>
      <c r="C108">
        <v>2</v>
      </c>
      <c r="K108" t="s">
        <v>332</v>
      </c>
      <c r="L108">
        <v>1</v>
      </c>
      <c r="S108" t="s">
        <v>202</v>
      </c>
      <c r="T108" s="8">
        <v>10500</v>
      </c>
      <c r="AC108" t="s">
        <v>433</v>
      </c>
    </row>
    <row r="109" spans="2:29" x14ac:dyDescent="0.3">
      <c r="B109" t="s">
        <v>283</v>
      </c>
      <c r="C109">
        <v>2</v>
      </c>
      <c r="K109" t="s">
        <v>340</v>
      </c>
      <c r="L109">
        <v>1</v>
      </c>
      <c r="S109" t="s">
        <v>21</v>
      </c>
      <c r="T109" s="8">
        <v>9500</v>
      </c>
      <c r="AC109" t="s">
        <v>424</v>
      </c>
    </row>
    <row r="110" spans="2:29" x14ac:dyDescent="0.3">
      <c r="B110" t="s">
        <v>28</v>
      </c>
      <c r="C110">
        <v>3</v>
      </c>
      <c r="K110" t="s">
        <v>343</v>
      </c>
      <c r="L110">
        <v>1</v>
      </c>
      <c r="S110" t="s">
        <v>309</v>
      </c>
      <c r="T110" s="8">
        <v>7000</v>
      </c>
      <c r="AC110" t="s">
        <v>424</v>
      </c>
    </row>
    <row r="111" spans="2:29" x14ac:dyDescent="0.3">
      <c r="B111" t="s">
        <v>104</v>
      </c>
      <c r="C111">
        <v>2</v>
      </c>
      <c r="K111" t="s">
        <v>348</v>
      </c>
      <c r="L111">
        <v>1</v>
      </c>
      <c r="AC111" t="s">
        <v>424</v>
      </c>
    </row>
    <row r="112" spans="2:29" x14ac:dyDescent="0.3">
      <c r="B112" t="s">
        <v>48</v>
      </c>
      <c r="C112">
        <v>1</v>
      </c>
      <c r="K112" t="s">
        <v>349</v>
      </c>
      <c r="L112">
        <v>1</v>
      </c>
      <c r="T112" s="26">
        <f>SUM(T2:T110)</f>
        <v>6238500</v>
      </c>
      <c r="U112" s="26">
        <f>T112+X18</f>
        <v>7361500</v>
      </c>
      <c r="AC112" t="s">
        <v>431</v>
      </c>
    </row>
    <row r="113" spans="2:29" x14ac:dyDescent="0.3">
      <c r="B113" t="s">
        <v>37</v>
      </c>
      <c r="C113">
        <v>1</v>
      </c>
      <c r="K113" t="s">
        <v>352</v>
      </c>
      <c r="L113">
        <v>1</v>
      </c>
      <c r="AC113" t="s">
        <v>428</v>
      </c>
    </row>
    <row r="114" spans="2:29" x14ac:dyDescent="0.3">
      <c r="B114" t="s">
        <v>14</v>
      </c>
      <c r="C114">
        <v>1</v>
      </c>
      <c r="K114" t="s">
        <v>358</v>
      </c>
      <c r="L114">
        <v>1</v>
      </c>
      <c r="AC114" t="s">
        <v>431</v>
      </c>
    </row>
    <row r="115" spans="2:29" x14ac:dyDescent="0.3">
      <c r="B115" t="s">
        <v>278</v>
      </c>
      <c r="C115">
        <v>1</v>
      </c>
      <c r="K115" t="s">
        <v>359</v>
      </c>
      <c r="L115">
        <v>1</v>
      </c>
      <c r="AC115" t="s">
        <v>428</v>
      </c>
    </row>
    <row r="116" spans="2:29" x14ac:dyDescent="0.3">
      <c r="B116" t="s">
        <v>283</v>
      </c>
      <c r="C116">
        <v>1</v>
      </c>
      <c r="K116" t="s">
        <v>406</v>
      </c>
      <c r="L116">
        <v>1</v>
      </c>
      <c r="AC116" t="s">
        <v>434</v>
      </c>
    </row>
    <row r="117" spans="2:29" x14ac:dyDescent="0.3">
      <c r="B117" t="s">
        <v>105</v>
      </c>
      <c r="C117">
        <v>2</v>
      </c>
      <c r="AC117" t="s">
        <v>423</v>
      </c>
    </row>
    <row r="118" spans="2:29" x14ac:dyDescent="0.3">
      <c r="B118" t="s">
        <v>201</v>
      </c>
      <c r="C118">
        <v>2</v>
      </c>
      <c r="S118" s="11" t="s">
        <v>241</v>
      </c>
      <c r="T118" s="26">
        <v>210000</v>
      </c>
      <c r="AC118" t="s">
        <v>427</v>
      </c>
    </row>
    <row r="119" spans="2:29" x14ac:dyDescent="0.3">
      <c r="B119" t="s">
        <v>315</v>
      </c>
      <c r="C119">
        <v>1</v>
      </c>
      <c r="S119" s="13" t="s">
        <v>238</v>
      </c>
      <c r="T119" s="27">
        <v>150000</v>
      </c>
      <c r="AC119" t="s">
        <v>424</v>
      </c>
    </row>
    <row r="120" spans="2:29" x14ac:dyDescent="0.3">
      <c r="B120" t="s">
        <v>28</v>
      </c>
      <c r="C120">
        <v>1</v>
      </c>
      <c r="S120" s="11" t="s">
        <v>225</v>
      </c>
      <c r="T120" s="26">
        <v>120000</v>
      </c>
      <c r="AC120" t="s">
        <v>427</v>
      </c>
    </row>
    <row r="121" spans="2:29" x14ac:dyDescent="0.3">
      <c r="B121" t="s">
        <v>94</v>
      </c>
      <c r="C121">
        <v>1</v>
      </c>
      <c r="S121" s="13" t="s">
        <v>230</v>
      </c>
      <c r="T121" s="27">
        <v>90000</v>
      </c>
      <c r="AC121" t="s">
        <v>428</v>
      </c>
    </row>
    <row r="122" spans="2:29" x14ac:dyDescent="0.3">
      <c r="B122" t="s">
        <v>13</v>
      </c>
      <c r="C122">
        <v>1</v>
      </c>
      <c r="S122" s="11" t="s">
        <v>222</v>
      </c>
      <c r="T122" s="26">
        <v>60000</v>
      </c>
      <c r="AC122" t="s">
        <v>427</v>
      </c>
    </row>
    <row r="123" spans="2:29" x14ac:dyDescent="0.3">
      <c r="B123" t="s">
        <v>104</v>
      </c>
      <c r="C123">
        <v>1</v>
      </c>
      <c r="K123" s="11" t="s">
        <v>241</v>
      </c>
      <c r="L123" s="12">
        <v>7</v>
      </c>
      <c r="S123" s="13" t="s">
        <v>227</v>
      </c>
      <c r="T123" s="27">
        <v>60000</v>
      </c>
      <c r="AC123" t="s">
        <v>427</v>
      </c>
    </row>
    <row r="124" spans="2:29" x14ac:dyDescent="0.3">
      <c r="B124" t="s">
        <v>13</v>
      </c>
      <c r="C124">
        <v>1</v>
      </c>
      <c r="K124" s="13" t="s">
        <v>238</v>
      </c>
      <c r="L124" s="14">
        <v>5</v>
      </c>
      <c r="S124" s="11" t="s">
        <v>234</v>
      </c>
      <c r="T124" s="26">
        <v>60000</v>
      </c>
      <c r="AC124" t="s">
        <v>435</v>
      </c>
    </row>
    <row r="125" spans="2:29" x14ac:dyDescent="0.3">
      <c r="B125" t="s">
        <v>342</v>
      </c>
      <c r="C125">
        <v>1</v>
      </c>
      <c r="K125" s="11" t="s">
        <v>225</v>
      </c>
      <c r="L125" s="12">
        <v>4</v>
      </c>
      <c r="S125" s="13" t="s">
        <v>236</v>
      </c>
      <c r="T125" s="27">
        <v>60000</v>
      </c>
      <c r="AC125" t="s">
        <v>432</v>
      </c>
    </row>
    <row r="126" spans="2:29" x14ac:dyDescent="0.3">
      <c r="B126" t="s">
        <v>38</v>
      </c>
      <c r="C126">
        <v>1</v>
      </c>
      <c r="K126" s="13" t="s">
        <v>230</v>
      </c>
      <c r="L126" s="14">
        <v>3</v>
      </c>
      <c r="S126" s="11" t="s">
        <v>232</v>
      </c>
      <c r="T126" s="26">
        <v>30000</v>
      </c>
      <c r="AC126" t="s">
        <v>429</v>
      </c>
    </row>
    <row r="127" spans="2:29" x14ac:dyDescent="0.3">
      <c r="B127" t="s">
        <v>94</v>
      </c>
      <c r="C127">
        <v>2</v>
      </c>
      <c r="K127" s="11" t="s">
        <v>222</v>
      </c>
      <c r="L127" s="12">
        <v>2</v>
      </c>
      <c r="AC127" t="s">
        <v>425</v>
      </c>
    </row>
    <row r="128" spans="2:29" x14ac:dyDescent="0.3">
      <c r="B128" t="s">
        <v>182</v>
      </c>
      <c r="C128">
        <v>1</v>
      </c>
      <c r="K128" s="13" t="s">
        <v>227</v>
      </c>
      <c r="L128" s="14">
        <v>2</v>
      </c>
      <c r="T128" s="2">
        <f>SUM(T118:T126)</f>
        <v>840000</v>
      </c>
      <c r="AC128" t="s">
        <v>427</v>
      </c>
    </row>
    <row r="129" spans="2:29" x14ac:dyDescent="0.3">
      <c r="B129" t="s">
        <v>48</v>
      </c>
      <c r="C129">
        <v>1</v>
      </c>
      <c r="K129" s="11" t="s">
        <v>234</v>
      </c>
      <c r="L129" s="12">
        <v>2</v>
      </c>
      <c r="AC129" t="s">
        <v>430</v>
      </c>
    </row>
    <row r="130" spans="2:29" x14ac:dyDescent="0.3">
      <c r="B130" t="s">
        <v>94</v>
      </c>
      <c r="C130">
        <v>1</v>
      </c>
      <c r="K130" s="13" t="s">
        <v>236</v>
      </c>
      <c r="L130" s="14">
        <v>2</v>
      </c>
      <c r="AC130" t="s">
        <v>428</v>
      </c>
    </row>
    <row r="131" spans="2:29" x14ac:dyDescent="0.3">
      <c r="B131" t="s">
        <v>94</v>
      </c>
      <c r="C131">
        <v>1</v>
      </c>
      <c r="K131" s="11" t="s">
        <v>232</v>
      </c>
      <c r="L131" s="12">
        <v>1</v>
      </c>
      <c r="N131" s="5" t="s">
        <v>392</v>
      </c>
      <c r="O131" s="6" t="s">
        <v>393</v>
      </c>
      <c r="P131" s="6" t="s">
        <v>104</v>
      </c>
      <c r="Q131" s="6">
        <v>1</v>
      </c>
      <c r="AC131" t="s">
        <v>428</v>
      </c>
    </row>
    <row r="132" spans="2:29" x14ac:dyDescent="0.3">
      <c r="B132" t="s">
        <v>363</v>
      </c>
      <c r="C132">
        <v>1</v>
      </c>
      <c r="N132" s="3"/>
      <c r="O132" s="4"/>
      <c r="P132" s="4" t="s">
        <v>388</v>
      </c>
      <c r="Q132" s="4">
        <v>2</v>
      </c>
      <c r="AC132" t="s">
        <v>423</v>
      </c>
    </row>
    <row r="133" spans="2:29" x14ac:dyDescent="0.3">
      <c r="B133" t="s">
        <v>38</v>
      </c>
      <c r="C133">
        <v>1</v>
      </c>
      <c r="N133" s="5"/>
      <c r="O133" s="6"/>
      <c r="P133" s="6" t="s">
        <v>105</v>
      </c>
      <c r="Q133" s="6">
        <v>2</v>
      </c>
      <c r="AC133" t="s">
        <v>432</v>
      </c>
    </row>
    <row r="134" spans="2:29" x14ac:dyDescent="0.3">
      <c r="N134" s="3"/>
      <c r="O134" s="4"/>
      <c r="P134" s="4" t="s">
        <v>152</v>
      </c>
      <c r="Q134" s="4">
        <v>4</v>
      </c>
      <c r="AC134" t="s">
        <v>424</v>
      </c>
    </row>
    <row r="135" spans="2:29" x14ac:dyDescent="0.3">
      <c r="C135">
        <f>SUM(Table3[Quantity Sold])</f>
        <v>203</v>
      </c>
      <c r="N135" s="5"/>
      <c r="O135" s="6"/>
      <c r="P135" s="6" t="s">
        <v>14</v>
      </c>
      <c r="Q135" s="6">
        <v>6</v>
      </c>
      <c r="AC135" t="s">
        <v>430</v>
      </c>
    </row>
    <row r="136" spans="2:29" x14ac:dyDescent="0.3">
      <c r="AC136" t="s">
        <v>424</v>
      </c>
    </row>
    <row r="137" spans="2:29" x14ac:dyDescent="0.3">
      <c r="AC137" t="s">
        <v>432</v>
      </c>
    </row>
    <row r="138" spans="2:29" x14ac:dyDescent="0.3">
      <c r="AC138" t="s">
        <v>424</v>
      </c>
    </row>
    <row r="139" spans="2:29" x14ac:dyDescent="0.3">
      <c r="AC139" t="s">
        <v>424</v>
      </c>
    </row>
    <row r="140" spans="2:29" x14ac:dyDescent="0.3">
      <c r="AC140" t="s">
        <v>428</v>
      </c>
    </row>
    <row r="141" spans="2:29" x14ac:dyDescent="0.3">
      <c r="AC141" t="s">
        <v>427</v>
      </c>
    </row>
    <row r="142" spans="2:29" x14ac:dyDescent="0.3">
      <c r="AC142" t="s">
        <v>428</v>
      </c>
    </row>
    <row r="143" spans="2:29" x14ac:dyDescent="0.3">
      <c r="AC143" t="s">
        <v>423</v>
      </c>
    </row>
    <row r="144" spans="2:29" x14ac:dyDescent="0.3">
      <c r="AC144" t="s">
        <v>429</v>
      </c>
    </row>
    <row r="145" spans="29:29" x14ac:dyDescent="0.3">
      <c r="AC145" t="s">
        <v>424</v>
      </c>
    </row>
    <row r="146" spans="29:29" x14ac:dyDescent="0.3">
      <c r="AC146" t="s">
        <v>424</v>
      </c>
    </row>
    <row r="147" spans="29:29" x14ac:dyDescent="0.3">
      <c r="AC147" t="s">
        <v>424</v>
      </c>
    </row>
    <row r="148" spans="29:29" x14ac:dyDescent="0.3">
      <c r="AC148" t="s">
        <v>432</v>
      </c>
    </row>
    <row r="149" spans="29:29" x14ac:dyDescent="0.3">
      <c r="AC149" t="s">
        <v>432</v>
      </c>
    </row>
    <row r="150" spans="29:29" x14ac:dyDescent="0.3">
      <c r="AC150" t="s">
        <v>432</v>
      </c>
    </row>
    <row r="151" spans="29:29" x14ac:dyDescent="0.3">
      <c r="AC151" t="s">
        <v>427</v>
      </c>
    </row>
    <row r="152" spans="29:29" x14ac:dyDescent="0.3">
      <c r="AC152" t="s">
        <v>423</v>
      </c>
    </row>
    <row r="153" spans="29:29" x14ac:dyDescent="0.3">
      <c r="AC153" t="s">
        <v>428</v>
      </c>
    </row>
    <row r="154" spans="29:29" x14ac:dyDescent="0.3">
      <c r="AC154" t="s">
        <v>429</v>
      </c>
    </row>
    <row r="155" spans="29:29" x14ac:dyDescent="0.3">
      <c r="AC155" t="s">
        <v>428</v>
      </c>
    </row>
    <row r="156" spans="29:29" x14ac:dyDescent="0.3">
      <c r="AC156" t="s">
        <v>431</v>
      </c>
    </row>
    <row r="157" spans="29:29" x14ac:dyDescent="0.3">
      <c r="AC157" t="s">
        <v>428</v>
      </c>
    </row>
    <row r="158" spans="29:29" x14ac:dyDescent="0.3">
      <c r="AC158" t="s">
        <v>431</v>
      </c>
    </row>
    <row r="159" spans="29:29" x14ac:dyDescent="0.3">
      <c r="AC159" t="s">
        <v>428</v>
      </c>
    </row>
    <row r="160" spans="29:29" x14ac:dyDescent="0.3">
      <c r="AC160" t="s">
        <v>429</v>
      </c>
    </row>
    <row r="161" spans="29:29" x14ac:dyDescent="0.3">
      <c r="AC161" t="s">
        <v>431</v>
      </c>
    </row>
    <row r="162" spans="29:29" x14ac:dyDescent="0.3">
      <c r="AC162" t="s">
        <v>424</v>
      </c>
    </row>
    <row r="163" spans="29:29" x14ac:dyDescent="0.3">
      <c r="AC163" t="s">
        <v>424</v>
      </c>
    </row>
    <row r="164" spans="29:29" x14ac:dyDescent="0.3">
      <c r="AC164" t="s">
        <v>429</v>
      </c>
    </row>
    <row r="165" spans="29:29" x14ac:dyDescent="0.3">
      <c r="AC165" t="s">
        <v>426</v>
      </c>
    </row>
    <row r="166" spans="29:29" x14ac:dyDescent="0.3">
      <c r="AC166" t="s">
        <v>424</v>
      </c>
    </row>
    <row r="167" spans="29:29" x14ac:dyDescent="0.3">
      <c r="AC167" t="s">
        <v>427</v>
      </c>
    </row>
    <row r="168" spans="29:29" x14ac:dyDescent="0.3">
      <c r="AC168" t="s">
        <v>439</v>
      </c>
    </row>
    <row r="169" spans="29:29" x14ac:dyDescent="0.3">
      <c r="AC169" t="s">
        <v>435</v>
      </c>
    </row>
    <row r="170" spans="29:29" x14ac:dyDescent="0.3">
      <c r="AC170" t="s">
        <v>431</v>
      </c>
    </row>
    <row r="171" spans="29:29" x14ac:dyDescent="0.3">
      <c r="AC171" t="s">
        <v>427</v>
      </c>
    </row>
    <row r="172" spans="29:29" x14ac:dyDescent="0.3">
      <c r="AC172" t="s">
        <v>424</v>
      </c>
    </row>
    <row r="173" spans="29:29" x14ac:dyDescent="0.3">
      <c r="AC173" t="s">
        <v>426</v>
      </c>
    </row>
    <row r="174" spans="29:29" x14ac:dyDescent="0.3">
      <c r="AC174" t="s">
        <v>431</v>
      </c>
    </row>
    <row r="175" spans="29:29" x14ac:dyDescent="0.3">
      <c r="AC175" t="s">
        <v>427</v>
      </c>
    </row>
    <row r="176" spans="29:29" x14ac:dyDescent="0.3">
      <c r="AC176" t="s">
        <v>424</v>
      </c>
    </row>
    <row r="177" spans="29:29" x14ac:dyDescent="0.3">
      <c r="AC177" t="s">
        <v>427</v>
      </c>
    </row>
    <row r="178" spans="29:29" x14ac:dyDescent="0.3">
      <c r="AC178" t="s">
        <v>429</v>
      </c>
    </row>
    <row r="179" spans="29:29" x14ac:dyDescent="0.3">
      <c r="AC179" t="s">
        <v>426</v>
      </c>
    </row>
    <row r="180" spans="29:29" x14ac:dyDescent="0.3">
      <c r="AC180" t="s">
        <v>423</v>
      </c>
    </row>
    <row r="181" spans="29:29" x14ac:dyDescent="0.3">
      <c r="AC181" t="s">
        <v>429</v>
      </c>
    </row>
    <row r="182" spans="29:29" x14ac:dyDescent="0.3">
      <c r="AC182" t="s">
        <v>435</v>
      </c>
    </row>
    <row r="183" spans="29:29" x14ac:dyDescent="0.3">
      <c r="AC183" t="s">
        <v>427</v>
      </c>
    </row>
    <row r="184" spans="29:29" x14ac:dyDescent="0.3">
      <c r="AC184" t="s">
        <v>434</v>
      </c>
    </row>
    <row r="185" spans="29:29" x14ac:dyDescent="0.3">
      <c r="AC185" t="s">
        <v>429</v>
      </c>
    </row>
    <row r="186" spans="29:29" x14ac:dyDescent="0.3">
      <c r="AC186" t="s">
        <v>427</v>
      </c>
    </row>
    <row r="187" spans="29:29" x14ac:dyDescent="0.3">
      <c r="AC187" t="s">
        <v>432</v>
      </c>
    </row>
    <row r="188" spans="29:29" x14ac:dyDescent="0.3">
      <c r="AC188" t="s">
        <v>424</v>
      </c>
    </row>
    <row r="189" spans="29:29" x14ac:dyDescent="0.3">
      <c r="AC189" t="s">
        <v>423</v>
      </c>
    </row>
    <row r="190" spans="29:29" x14ac:dyDescent="0.3">
      <c r="AC190" t="s">
        <v>424</v>
      </c>
    </row>
    <row r="191" spans="29:29" x14ac:dyDescent="0.3">
      <c r="AC191" t="s">
        <v>429</v>
      </c>
    </row>
    <row r="192" spans="29:29" x14ac:dyDescent="0.3">
      <c r="AC192" t="s">
        <v>429</v>
      </c>
    </row>
    <row r="193" spans="29:29" x14ac:dyDescent="0.3">
      <c r="AC193" t="s">
        <v>427</v>
      </c>
    </row>
    <row r="194" spans="29:29" x14ac:dyDescent="0.3">
      <c r="AC194" t="s">
        <v>423</v>
      </c>
    </row>
    <row r="195" spans="29:29" x14ac:dyDescent="0.3">
      <c r="AC195" t="s">
        <v>428</v>
      </c>
    </row>
    <row r="196" spans="29:29" x14ac:dyDescent="0.3">
      <c r="AC196" t="s">
        <v>428</v>
      </c>
    </row>
    <row r="197" spans="29:29" x14ac:dyDescent="0.3">
      <c r="AC197" t="s">
        <v>429</v>
      </c>
    </row>
    <row r="198" spans="29:29" x14ac:dyDescent="0.3">
      <c r="AC198" t="s">
        <v>429</v>
      </c>
    </row>
    <row r="199" spans="29:29" x14ac:dyDescent="0.3">
      <c r="AC199" t="s">
        <v>429</v>
      </c>
    </row>
    <row r="200" spans="29:29" x14ac:dyDescent="0.3">
      <c r="AC200" t="s">
        <v>431</v>
      </c>
    </row>
    <row r="201" spans="29:29" x14ac:dyDescent="0.3">
      <c r="AC201" t="s">
        <v>436</v>
      </c>
    </row>
    <row r="202" spans="29:29" x14ac:dyDescent="0.3">
      <c r="AC202" t="s">
        <v>424</v>
      </c>
    </row>
    <row r="203" spans="29:29" x14ac:dyDescent="0.3">
      <c r="AC203" t="s">
        <v>430</v>
      </c>
    </row>
    <row r="204" spans="29:29" x14ac:dyDescent="0.3">
      <c r="AC204" t="s">
        <v>423</v>
      </c>
    </row>
    <row r="205" spans="29:29" x14ac:dyDescent="0.3">
      <c r="AC205" t="s">
        <v>432</v>
      </c>
    </row>
    <row r="206" spans="29:29" x14ac:dyDescent="0.3">
      <c r="AC206" t="s">
        <v>424</v>
      </c>
    </row>
    <row r="207" spans="29:29" x14ac:dyDescent="0.3">
      <c r="AC207" t="s">
        <v>423</v>
      </c>
    </row>
    <row r="208" spans="29:29" x14ac:dyDescent="0.3">
      <c r="AC208" t="s">
        <v>432</v>
      </c>
    </row>
    <row r="209" spans="29:29" x14ac:dyDescent="0.3">
      <c r="AC209" t="s">
        <v>423</v>
      </c>
    </row>
    <row r="210" spans="29:29" x14ac:dyDescent="0.3">
      <c r="AC210" t="s">
        <v>432</v>
      </c>
    </row>
    <row r="211" spans="29:29" x14ac:dyDescent="0.3">
      <c r="AC211" t="s">
        <v>430</v>
      </c>
    </row>
    <row r="212" spans="29:29" x14ac:dyDescent="0.3">
      <c r="AC212" t="s">
        <v>428</v>
      </c>
    </row>
    <row r="213" spans="29:29" x14ac:dyDescent="0.3">
      <c r="AC213" t="s">
        <v>433</v>
      </c>
    </row>
    <row r="214" spans="29:29" x14ac:dyDescent="0.3">
      <c r="AC214" t="s">
        <v>432</v>
      </c>
    </row>
    <row r="215" spans="29:29" x14ac:dyDescent="0.3">
      <c r="AC215" t="s">
        <v>428</v>
      </c>
    </row>
    <row r="216" spans="29:29" x14ac:dyDescent="0.3">
      <c r="AC216" t="s">
        <v>431</v>
      </c>
    </row>
    <row r="217" spans="29:29" x14ac:dyDescent="0.3">
      <c r="AC217" t="s">
        <v>432</v>
      </c>
    </row>
    <row r="218" spans="29:29" x14ac:dyDescent="0.3">
      <c r="AC218" t="s">
        <v>439</v>
      </c>
    </row>
    <row r="219" spans="29:29" x14ac:dyDescent="0.3">
      <c r="AC219" t="s">
        <v>427</v>
      </c>
    </row>
    <row r="220" spans="29:29" x14ac:dyDescent="0.3">
      <c r="AC220" t="s">
        <v>432</v>
      </c>
    </row>
    <row r="221" spans="29:29" x14ac:dyDescent="0.3">
      <c r="AC221" t="s">
        <v>424</v>
      </c>
    </row>
    <row r="222" spans="29:29" x14ac:dyDescent="0.3">
      <c r="AC222" t="s">
        <v>429</v>
      </c>
    </row>
  </sheetData>
  <pageMargins left="0.7" right="0.7" top="0.75" bottom="0.75" header="0.3" footer="0.3"/>
  <pageSetup orientation="portrait" r:id="rId1"/>
  <headerFooter>
    <oddHeader xml:space="preserve">&amp;CColours for Shoes
</oddHeader>
  </headerFooter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F590-820A-4E87-95C1-6CA200F1ED01}">
  <dimension ref="A1:X110"/>
  <sheetViews>
    <sheetView topLeftCell="K1" workbookViewId="0">
      <selection activeCell="T2" sqref="T2:T8"/>
    </sheetView>
  </sheetViews>
  <sheetFormatPr defaultRowHeight="14.4" x14ac:dyDescent="0.3"/>
  <cols>
    <col min="1" max="1" width="58.5546875" customWidth="1"/>
    <col min="2" max="2" width="8.77734375" bestFit="1" customWidth="1"/>
    <col min="3" max="3" width="14.33203125" customWidth="1"/>
    <col min="9" max="9" width="42.6640625" bestFit="1" customWidth="1"/>
    <col min="13" max="13" width="30.6640625" bestFit="1" customWidth="1"/>
    <col min="14" max="14" width="13.44140625" customWidth="1"/>
    <col min="15" max="15" width="20.77734375" customWidth="1"/>
    <col min="20" max="20" width="19.109375" bestFit="1" customWidth="1"/>
    <col min="23" max="23" width="42.6640625" bestFit="1" customWidth="1"/>
  </cols>
  <sheetData>
    <row r="1" spans="1:24" x14ac:dyDescent="0.3">
      <c r="A1" s="17" t="s">
        <v>3</v>
      </c>
      <c r="B1" s="29" t="s">
        <v>408</v>
      </c>
      <c r="C1" s="30" t="s">
        <v>25</v>
      </c>
      <c r="I1" s="11" t="s">
        <v>419</v>
      </c>
      <c r="J1" s="12">
        <v>28</v>
      </c>
      <c r="M1" s="31" t="s">
        <v>449</v>
      </c>
      <c r="N1" s="23" t="s">
        <v>420</v>
      </c>
      <c r="O1" s="28" t="s">
        <v>413</v>
      </c>
      <c r="T1" s="28" t="s">
        <v>413</v>
      </c>
      <c r="W1" s="17" t="s">
        <v>3</v>
      </c>
      <c r="X1" s="34" t="s">
        <v>408</v>
      </c>
    </row>
    <row r="2" spans="1:24" x14ac:dyDescent="0.3">
      <c r="A2" s="15" t="s">
        <v>419</v>
      </c>
      <c r="B2" s="26">
        <v>840000</v>
      </c>
      <c r="C2">
        <v>28</v>
      </c>
      <c r="I2" s="13" t="s">
        <v>269</v>
      </c>
      <c r="J2" s="14">
        <v>13</v>
      </c>
      <c r="M2" s="20" t="s">
        <v>392</v>
      </c>
      <c r="N2" s="8">
        <v>490000</v>
      </c>
      <c r="O2">
        <v>15</v>
      </c>
      <c r="T2" s="21">
        <v>15</v>
      </c>
      <c r="W2" s="16" t="s">
        <v>81</v>
      </c>
      <c r="X2" s="33">
        <v>100000</v>
      </c>
    </row>
    <row r="3" spans="1:24" x14ac:dyDescent="0.3">
      <c r="A3" s="16" t="s">
        <v>269</v>
      </c>
      <c r="B3" s="27">
        <v>240500</v>
      </c>
      <c r="C3">
        <v>13</v>
      </c>
      <c r="I3" s="11" t="s">
        <v>203</v>
      </c>
      <c r="J3" s="12">
        <v>9</v>
      </c>
      <c r="M3" s="20" t="s">
        <v>399</v>
      </c>
      <c r="N3" s="8">
        <v>180000</v>
      </c>
      <c r="O3">
        <v>6</v>
      </c>
      <c r="T3" s="21">
        <v>6</v>
      </c>
      <c r="W3" s="15" t="s">
        <v>214</v>
      </c>
      <c r="X3" s="32">
        <v>100000</v>
      </c>
    </row>
    <row r="4" spans="1:24" x14ac:dyDescent="0.3">
      <c r="A4" s="15" t="s">
        <v>91</v>
      </c>
      <c r="B4" s="26">
        <v>175000</v>
      </c>
      <c r="C4">
        <v>5</v>
      </c>
      <c r="I4" s="13" t="s">
        <v>35</v>
      </c>
      <c r="J4" s="14">
        <v>7</v>
      </c>
      <c r="M4" s="20" t="s">
        <v>386</v>
      </c>
      <c r="N4" s="8">
        <v>100000</v>
      </c>
      <c r="O4">
        <v>4</v>
      </c>
      <c r="T4" s="21">
        <v>4</v>
      </c>
      <c r="W4" s="15" t="s">
        <v>95</v>
      </c>
      <c r="X4" s="32">
        <v>105000</v>
      </c>
    </row>
    <row r="5" spans="1:24" x14ac:dyDescent="0.3">
      <c r="A5" s="16" t="s">
        <v>245</v>
      </c>
      <c r="B5" s="27">
        <v>140000</v>
      </c>
      <c r="C5">
        <v>7</v>
      </c>
      <c r="I5" s="11" t="s">
        <v>245</v>
      </c>
      <c r="J5" s="12">
        <v>7</v>
      </c>
      <c r="M5" s="20" t="s">
        <v>400</v>
      </c>
      <c r="N5" s="8">
        <v>60000</v>
      </c>
      <c r="O5">
        <v>2</v>
      </c>
      <c r="T5" s="21">
        <v>2</v>
      </c>
      <c r="W5" s="15" t="s">
        <v>150</v>
      </c>
      <c r="X5" s="32">
        <v>112500</v>
      </c>
    </row>
    <row r="6" spans="1:24" x14ac:dyDescent="0.3">
      <c r="A6" s="15" t="s">
        <v>101</v>
      </c>
      <c r="B6" s="26">
        <v>135000</v>
      </c>
      <c r="C6">
        <v>3</v>
      </c>
      <c r="I6" s="13" t="s">
        <v>266</v>
      </c>
      <c r="J6" s="14">
        <v>6</v>
      </c>
      <c r="M6" s="20" t="s">
        <v>378</v>
      </c>
      <c r="N6" s="8">
        <v>54000</v>
      </c>
      <c r="O6">
        <v>2</v>
      </c>
      <c r="T6" s="21">
        <v>2</v>
      </c>
      <c r="W6" s="16" t="s">
        <v>170</v>
      </c>
      <c r="X6" s="33">
        <v>112500</v>
      </c>
    </row>
    <row r="7" spans="1:24" x14ac:dyDescent="0.3">
      <c r="A7" s="16" t="s">
        <v>99</v>
      </c>
      <c r="B7" s="27">
        <v>125000</v>
      </c>
      <c r="C7">
        <v>5</v>
      </c>
      <c r="I7" s="11" t="s">
        <v>11</v>
      </c>
      <c r="J7" s="12">
        <v>5</v>
      </c>
      <c r="M7" s="20" t="s">
        <v>383</v>
      </c>
      <c r="N7" s="8">
        <v>42000</v>
      </c>
      <c r="O7">
        <v>2</v>
      </c>
      <c r="T7" s="21">
        <v>2</v>
      </c>
      <c r="W7" s="16" t="s">
        <v>266</v>
      </c>
      <c r="X7" s="33">
        <v>120000</v>
      </c>
    </row>
    <row r="8" spans="1:24" x14ac:dyDescent="0.3">
      <c r="A8" s="15" t="s">
        <v>337</v>
      </c>
      <c r="B8" s="26">
        <v>125000</v>
      </c>
      <c r="C8">
        <v>5</v>
      </c>
      <c r="I8" s="13" t="s">
        <v>91</v>
      </c>
      <c r="J8" s="14">
        <v>5</v>
      </c>
      <c r="M8" s="20" t="s">
        <v>361</v>
      </c>
      <c r="N8" s="8">
        <v>37000</v>
      </c>
      <c r="O8">
        <v>2</v>
      </c>
      <c r="T8" s="21">
        <v>2</v>
      </c>
      <c r="W8" s="16" t="s">
        <v>99</v>
      </c>
      <c r="X8" s="33">
        <v>125000</v>
      </c>
    </row>
    <row r="9" spans="1:24" x14ac:dyDescent="0.3">
      <c r="A9" s="16" t="s">
        <v>266</v>
      </c>
      <c r="B9" s="27">
        <v>120000</v>
      </c>
      <c r="C9">
        <v>6</v>
      </c>
      <c r="I9" s="11" t="s">
        <v>99</v>
      </c>
      <c r="J9" s="12">
        <v>5</v>
      </c>
      <c r="W9" s="15" t="s">
        <v>337</v>
      </c>
      <c r="X9" s="32">
        <v>125000</v>
      </c>
    </row>
    <row r="10" spans="1:24" x14ac:dyDescent="0.3">
      <c r="A10" s="15" t="s">
        <v>150</v>
      </c>
      <c r="B10" s="26">
        <v>112500</v>
      </c>
      <c r="C10">
        <v>5</v>
      </c>
      <c r="I10" s="13" t="s">
        <v>150</v>
      </c>
      <c r="J10" s="14">
        <v>5</v>
      </c>
      <c r="W10" s="15" t="s">
        <v>101</v>
      </c>
      <c r="X10" s="32">
        <v>135000</v>
      </c>
    </row>
    <row r="11" spans="1:24" x14ac:dyDescent="0.3">
      <c r="A11" s="16" t="s">
        <v>170</v>
      </c>
      <c r="B11" s="27">
        <v>112500</v>
      </c>
      <c r="C11">
        <v>5</v>
      </c>
      <c r="I11" s="11" t="s">
        <v>170</v>
      </c>
      <c r="J11" s="12">
        <v>5</v>
      </c>
      <c r="W11" s="16" t="s">
        <v>245</v>
      </c>
      <c r="X11" s="33">
        <v>140000</v>
      </c>
    </row>
    <row r="12" spans="1:24" x14ac:dyDescent="0.3">
      <c r="A12" s="15" t="s">
        <v>95</v>
      </c>
      <c r="B12" s="26">
        <v>105000</v>
      </c>
      <c r="C12">
        <v>3</v>
      </c>
      <c r="I12" s="13" t="s">
        <v>190</v>
      </c>
      <c r="J12" s="14">
        <v>5</v>
      </c>
      <c r="M12" s="23" t="s">
        <v>418</v>
      </c>
      <c r="N12" s="23" t="s">
        <v>420</v>
      </c>
      <c r="O12" s="28" t="s">
        <v>413</v>
      </c>
      <c r="W12" s="15" t="s">
        <v>91</v>
      </c>
      <c r="X12" s="32">
        <v>175000</v>
      </c>
    </row>
    <row r="13" spans="1:24" x14ac:dyDescent="0.3">
      <c r="A13" s="16" t="s">
        <v>81</v>
      </c>
      <c r="B13" s="27">
        <v>100000</v>
      </c>
      <c r="C13">
        <v>4</v>
      </c>
      <c r="I13" s="11" t="s">
        <v>280</v>
      </c>
      <c r="J13" s="12">
        <v>5</v>
      </c>
      <c r="M13" s="20" t="s">
        <v>361</v>
      </c>
      <c r="N13" s="8">
        <v>37000</v>
      </c>
      <c r="O13">
        <v>2</v>
      </c>
      <c r="W13" s="16" t="s">
        <v>269</v>
      </c>
      <c r="X13" s="33">
        <v>240500</v>
      </c>
    </row>
    <row r="14" spans="1:24" x14ac:dyDescent="0.3">
      <c r="A14" s="15" t="s">
        <v>214</v>
      </c>
      <c r="B14" s="26">
        <v>100000</v>
      </c>
      <c r="C14">
        <v>4</v>
      </c>
      <c r="I14" s="13" t="s">
        <v>288</v>
      </c>
      <c r="J14" s="14">
        <v>5</v>
      </c>
      <c r="M14" s="20" t="s">
        <v>383</v>
      </c>
      <c r="N14" s="8">
        <v>42000</v>
      </c>
      <c r="O14">
        <v>2</v>
      </c>
      <c r="W14" s="18" t="s">
        <v>419</v>
      </c>
      <c r="X14" s="35">
        <v>840000</v>
      </c>
    </row>
    <row r="15" spans="1:24" x14ac:dyDescent="0.3">
      <c r="A15" s="16" t="s">
        <v>280</v>
      </c>
      <c r="B15" s="27">
        <v>92500</v>
      </c>
      <c r="I15" s="11" t="s">
        <v>311</v>
      </c>
      <c r="J15" s="12">
        <v>5</v>
      </c>
      <c r="M15" s="20" t="s">
        <v>378</v>
      </c>
      <c r="N15" s="8">
        <v>54000</v>
      </c>
      <c r="O15">
        <v>2</v>
      </c>
    </row>
    <row r="16" spans="1:24" x14ac:dyDescent="0.3">
      <c r="A16" s="15" t="s">
        <v>288</v>
      </c>
      <c r="B16" s="26">
        <v>92500</v>
      </c>
      <c r="I16" s="13" t="s">
        <v>337</v>
      </c>
      <c r="J16" s="14">
        <v>5</v>
      </c>
      <c r="M16" s="20" t="s">
        <v>400</v>
      </c>
      <c r="N16" s="8">
        <v>60000</v>
      </c>
      <c r="O16">
        <v>2</v>
      </c>
    </row>
    <row r="17" spans="1:15" x14ac:dyDescent="0.3">
      <c r="A17" s="16" t="s">
        <v>177</v>
      </c>
      <c r="B17" s="27">
        <v>90000</v>
      </c>
      <c r="I17" s="11" t="s">
        <v>7</v>
      </c>
      <c r="J17" s="12">
        <v>4</v>
      </c>
      <c r="M17" s="20" t="s">
        <v>386</v>
      </c>
      <c r="N17" s="8">
        <v>100000</v>
      </c>
      <c r="O17">
        <v>4</v>
      </c>
    </row>
    <row r="18" spans="1:15" x14ac:dyDescent="0.3">
      <c r="A18" s="15" t="s">
        <v>217</v>
      </c>
      <c r="B18" s="26">
        <v>90000</v>
      </c>
      <c r="I18" s="13" t="s">
        <v>49</v>
      </c>
      <c r="J18" s="14">
        <v>4</v>
      </c>
      <c r="M18" s="20" t="s">
        <v>399</v>
      </c>
      <c r="N18" s="8">
        <v>180000</v>
      </c>
      <c r="O18">
        <v>6</v>
      </c>
    </row>
    <row r="19" spans="1:15" x14ac:dyDescent="0.3">
      <c r="A19" s="16" t="s">
        <v>129</v>
      </c>
      <c r="B19" s="27">
        <v>82500</v>
      </c>
      <c r="I19" s="11" t="s">
        <v>51</v>
      </c>
      <c r="J19" s="12">
        <v>4</v>
      </c>
      <c r="M19" s="20" t="s">
        <v>392</v>
      </c>
      <c r="N19" s="8">
        <v>490000</v>
      </c>
      <c r="O19">
        <v>15</v>
      </c>
    </row>
    <row r="20" spans="1:15" x14ac:dyDescent="0.3">
      <c r="A20" s="15" t="s">
        <v>77</v>
      </c>
      <c r="B20" s="26">
        <v>80000</v>
      </c>
      <c r="I20" s="13" t="s">
        <v>53</v>
      </c>
      <c r="J20" s="14">
        <v>4</v>
      </c>
    </row>
    <row r="21" spans="1:15" x14ac:dyDescent="0.3">
      <c r="A21" s="16" t="s">
        <v>292</v>
      </c>
      <c r="B21" s="27">
        <v>74000</v>
      </c>
      <c r="I21" s="11" t="s">
        <v>77</v>
      </c>
      <c r="J21" s="12">
        <v>4</v>
      </c>
    </row>
    <row r="22" spans="1:15" x14ac:dyDescent="0.3">
      <c r="A22" s="15" t="s">
        <v>203</v>
      </c>
      <c r="B22" s="26">
        <v>67500</v>
      </c>
      <c r="I22" s="13" t="s">
        <v>81</v>
      </c>
      <c r="J22" s="14">
        <v>4</v>
      </c>
    </row>
    <row r="23" spans="1:15" x14ac:dyDescent="0.3">
      <c r="A23" s="16" t="s">
        <v>404</v>
      </c>
      <c r="B23" s="27">
        <v>67500</v>
      </c>
      <c r="I23" s="11" t="s">
        <v>160</v>
      </c>
      <c r="J23" s="12">
        <v>4</v>
      </c>
    </row>
    <row r="24" spans="1:15" x14ac:dyDescent="0.3">
      <c r="A24" s="15" t="s">
        <v>263</v>
      </c>
      <c r="B24" s="26">
        <v>66000</v>
      </c>
      <c r="I24" s="13" t="s">
        <v>177</v>
      </c>
      <c r="J24" s="14">
        <v>4</v>
      </c>
    </row>
    <row r="25" spans="1:15" x14ac:dyDescent="0.3">
      <c r="A25" s="16" t="s">
        <v>311</v>
      </c>
      <c r="B25" s="27">
        <v>65000</v>
      </c>
      <c r="I25" s="11" t="s">
        <v>194</v>
      </c>
      <c r="J25" s="12">
        <v>4</v>
      </c>
    </row>
    <row r="26" spans="1:15" x14ac:dyDescent="0.3">
      <c r="A26" s="15" t="s">
        <v>7</v>
      </c>
      <c r="B26" s="26">
        <v>62000</v>
      </c>
      <c r="I26" s="13" t="s">
        <v>199</v>
      </c>
      <c r="J26" s="14">
        <v>4</v>
      </c>
    </row>
    <row r="27" spans="1:15" x14ac:dyDescent="0.3">
      <c r="A27" s="16" t="s">
        <v>19</v>
      </c>
      <c r="B27" s="27">
        <v>60000</v>
      </c>
      <c r="I27" s="11" t="s">
        <v>209</v>
      </c>
      <c r="J27" s="12">
        <v>4</v>
      </c>
    </row>
    <row r="28" spans="1:15" x14ac:dyDescent="0.3">
      <c r="A28" s="15" t="s">
        <v>87</v>
      </c>
      <c r="B28" s="26">
        <v>60000</v>
      </c>
      <c r="I28" s="13" t="s">
        <v>214</v>
      </c>
      <c r="J28" s="14">
        <v>4</v>
      </c>
    </row>
    <row r="29" spans="1:15" x14ac:dyDescent="0.3">
      <c r="A29" s="16" t="s">
        <v>144</v>
      </c>
      <c r="B29" s="27">
        <v>60000</v>
      </c>
      <c r="I29" s="11" t="s">
        <v>292</v>
      </c>
      <c r="J29" s="12">
        <v>4</v>
      </c>
    </row>
    <row r="30" spans="1:15" x14ac:dyDescent="0.3">
      <c r="A30" s="15" t="s">
        <v>146</v>
      </c>
      <c r="B30" s="26">
        <v>60000</v>
      </c>
      <c r="I30" s="13" t="s">
        <v>321</v>
      </c>
      <c r="J30" s="14">
        <v>4</v>
      </c>
    </row>
    <row r="31" spans="1:15" x14ac:dyDescent="0.3">
      <c r="A31" s="16" t="s">
        <v>148</v>
      </c>
      <c r="B31" s="27">
        <v>60000</v>
      </c>
      <c r="I31" s="11" t="s">
        <v>5</v>
      </c>
      <c r="J31" s="12">
        <v>3</v>
      </c>
    </row>
    <row r="32" spans="1:15" x14ac:dyDescent="0.3">
      <c r="A32" s="15" t="s">
        <v>160</v>
      </c>
      <c r="B32" s="26">
        <v>60000</v>
      </c>
      <c r="I32" s="13" t="s">
        <v>95</v>
      </c>
      <c r="J32" s="14">
        <v>3</v>
      </c>
    </row>
    <row r="33" spans="1:10" x14ac:dyDescent="0.3">
      <c r="A33" s="16" t="s">
        <v>184</v>
      </c>
      <c r="B33" s="27">
        <v>60000</v>
      </c>
      <c r="I33" s="11" t="s">
        <v>101</v>
      </c>
      <c r="J33" s="12">
        <v>3</v>
      </c>
    </row>
    <row r="34" spans="1:10" x14ac:dyDescent="0.3">
      <c r="A34" s="15" t="s">
        <v>219</v>
      </c>
      <c r="B34" s="26">
        <v>60000</v>
      </c>
    </row>
    <row r="35" spans="1:10" x14ac:dyDescent="0.3">
      <c r="A35" s="16" t="s">
        <v>122</v>
      </c>
      <c r="B35" s="27">
        <v>58500</v>
      </c>
    </row>
    <row r="36" spans="1:10" x14ac:dyDescent="0.3">
      <c r="A36" s="15" t="s">
        <v>53</v>
      </c>
      <c r="B36" s="26">
        <v>58000</v>
      </c>
    </row>
    <row r="37" spans="1:10" x14ac:dyDescent="0.3">
      <c r="A37" s="16" t="s">
        <v>35</v>
      </c>
      <c r="B37" s="27">
        <v>56000</v>
      </c>
    </row>
    <row r="38" spans="1:10" x14ac:dyDescent="0.3">
      <c r="A38" s="15" t="s">
        <v>258</v>
      </c>
      <c r="B38" s="26">
        <v>55500</v>
      </c>
    </row>
    <row r="39" spans="1:10" x14ac:dyDescent="0.3">
      <c r="A39" s="16" t="s">
        <v>295</v>
      </c>
      <c r="B39" s="27">
        <v>55500</v>
      </c>
    </row>
    <row r="40" spans="1:10" x14ac:dyDescent="0.3">
      <c r="A40" s="15" t="s">
        <v>132</v>
      </c>
      <c r="B40" s="26">
        <v>55000</v>
      </c>
    </row>
    <row r="41" spans="1:10" x14ac:dyDescent="0.3">
      <c r="A41" s="16" t="s">
        <v>321</v>
      </c>
      <c r="B41" s="27">
        <v>54000</v>
      </c>
    </row>
    <row r="42" spans="1:10" x14ac:dyDescent="0.3">
      <c r="A42" s="15" t="s">
        <v>11</v>
      </c>
      <c r="B42" s="26">
        <v>52500</v>
      </c>
    </row>
    <row r="43" spans="1:10" x14ac:dyDescent="0.3">
      <c r="A43" s="16" t="s">
        <v>334</v>
      </c>
      <c r="B43" s="27">
        <v>52000</v>
      </c>
    </row>
    <row r="44" spans="1:10" x14ac:dyDescent="0.3">
      <c r="A44" s="15" t="s">
        <v>55</v>
      </c>
      <c r="B44" s="26">
        <v>50000</v>
      </c>
    </row>
    <row r="45" spans="1:10" x14ac:dyDescent="0.3">
      <c r="A45" s="16" t="s">
        <v>67</v>
      </c>
      <c r="B45" s="27">
        <v>50000</v>
      </c>
    </row>
    <row r="46" spans="1:10" x14ac:dyDescent="0.3">
      <c r="A46" s="15" t="s">
        <v>74</v>
      </c>
      <c r="B46" s="26">
        <v>50000</v>
      </c>
    </row>
    <row r="47" spans="1:10" x14ac:dyDescent="0.3">
      <c r="A47" s="16" t="s">
        <v>260</v>
      </c>
      <c r="B47" s="27">
        <v>50000</v>
      </c>
    </row>
    <row r="48" spans="1:10" x14ac:dyDescent="0.3">
      <c r="A48" s="15" t="s">
        <v>135</v>
      </c>
      <c r="B48" s="26">
        <v>47000</v>
      </c>
    </row>
    <row r="49" spans="1:2" x14ac:dyDescent="0.3">
      <c r="A49" s="16" t="s">
        <v>164</v>
      </c>
      <c r="B49" s="27">
        <v>45000</v>
      </c>
    </row>
    <row r="50" spans="1:2" x14ac:dyDescent="0.3">
      <c r="A50" s="15" t="s">
        <v>51</v>
      </c>
      <c r="B50" s="26">
        <v>42000</v>
      </c>
    </row>
    <row r="51" spans="1:2" x14ac:dyDescent="0.3">
      <c r="A51" s="16" t="s">
        <v>71</v>
      </c>
      <c r="B51" s="27">
        <v>40000</v>
      </c>
    </row>
    <row r="52" spans="1:2" x14ac:dyDescent="0.3">
      <c r="A52" s="15" t="s">
        <v>109</v>
      </c>
      <c r="B52" s="26">
        <v>40000</v>
      </c>
    </row>
    <row r="53" spans="1:2" x14ac:dyDescent="0.3">
      <c r="A53" s="16" t="s">
        <v>187</v>
      </c>
      <c r="B53" s="27">
        <v>40000</v>
      </c>
    </row>
    <row r="54" spans="1:2" x14ac:dyDescent="0.3">
      <c r="A54" s="15" t="s">
        <v>209</v>
      </c>
      <c r="B54" s="26">
        <v>40000</v>
      </c>
    </row>
    <row r="55" spans="1:2" x14ac:dyDescent="0.3">
      <c r="A55" s="16" t="s">
        <v>251</v>
      </c>
      <c r="B55" s="27">
        <v>40000</v>
      </c>
    </row>
    <row r="56" spans="1:2" x14ac:dyDescent="0.3">
      <c r="A56" s="15" t="s">
        <v>276</v>
      </c>
      <c r="B56" s="26">
        <v>40000</v>
      </c>
    </row>
    <row r="57" spans="1:2" x14ac:dyDescent="0.3">
      <c r="A57" s="16" t="s">
        <v>319</v>
      </c>
      <c r="B57" s="27">
        <v>40000</v>
      </c>
    </row>
    <row r="58" spans="1:2" x14ac:dyDescent="0.3">
      <c r="A58" s="15" t="s">
        <v>355</v>
      </c>
      <c r="B58" s="26">
        <v>40000</v>
      </c>
    </row>
    <row r="59" spans="1:2" x14ac:dyDescent="0.3">
      <c r="A59" s="16" t="s">
        <v>303</v>
      </c>
      <c r="B59" s="27">
        <v>39000</v>
      </c>
    </row>
    <row r="60" spans="1:2" x14ac:dyDescent="0.3">
      <c r="A60" s="15" t="s">
        <v>49</v>
      </c>
      <c r="B60" s="26">
        <v>38000</v>
      </c>
    </row>
    <row r="61" spans="1:2" x14ac:dyDescent="0.3">
      <c r="A61" s="16" t="s">
        <v>5</v>
      </c>
      <c r="B61" s="27">
        <v>37500</v>
      </c>
    </row>
    <row r="62" spans="1:2" x14ac:dyDescent="0.3">
      <c r="A62" s="15" t="s">
        <v>285</v>
      </c>
      <c r="B62" s="26">
        <v>37000</v>
      </c>
    </row>
    <row r="63" spans="1:2" x14ac:dyDescent="0.3">
      <c r="A63" s="16" t="s">
        <v>300</v>
      </c>
      <c r="B63" s="27">
        <v>37000</v>
      </c>
    </row>
    <row r="64" spans="1:2" x14ac:dyDescent="0.3">
      <c r="A64" s="15" t="s">
        <v>113</v>
      </c>
      <c r="B64" s="26">
        <v>36000</v>
      </c>
    </row>
    <row r="65" spans="1:2" x14ac:dyDescent="0.3">
      <c r="A65" s="16" t="s">
        <v>117</v>
      </c>
      <c r="B65" s="27">
        <v>36000</v>
      </c>
    </row>
    <row r="66" spans="1:2" x14ac:dyDescent="0.3">
      <c r="A66" s="15" t="s">
        <v>194</v>
      </c>
      <c r="B66" s="26">
        <v>36000</v>
      </c>
    </row>
    <row r="67" spans="1:2" x14ac:dyDescent="0.3">
      <c r="A67" s="16" t="s">
        <v>199</v>
      </c>
      <c r="B67" s="27">
        <v>36000</v>
      </c>
    </row>
    <row r="68" spans="1:2" x14ac:dyDescent="0.3">
      <c r="A68" s="15" t="s">
        <v>26</v>
      </c>
      <c r="B68" s="26">
        <v>35000</v>
      </c>
    </row>
    <row r="69" spans="1:2" x14ac:dyDescent="0.3">
      <c r="A69" s="16" t="s">
        <v>249</v>
      </c>
      <c r="B69" s="27">
        <v>35000</v>
      </c>
    </row>
    <row r="70" spans="1:2" x14ac:dyDescent="0.3">
      <c r="A70" s="15" t="s">
        <v>403</v>
      </c>
      <c r="B70" s="26">
        <v>31000</v>
      </c>
    </row>
    <row r="71" spans="1:2" x14ac:dyDescent="0.3">
      <c r="A71" s="16" t="s">
        <v>29</v>
      </c>
      <c r="B71" s="27">
        <v>30000</v>
      </c>
    </row>
    <row r="72" spans="1:2" x14ac:dyDescent="0.3">
      <c r="A72" s="15" t="s">
        <v>46</v>
      </c>
      <c r="B72" s="26">
        <v>30000</v>
      </c>
    </row>
    <row r="73" spans="1:2" x14ac:dyDescent="0.3">
      <c r="A73" s="16" t="s">
        <v>190</v>
      </c>
      <c r="B73" s="27">
        <v>30000</v>
      </c>
    </row>
    <row r="74" spans="1:2" x14ac:dyDescent="0.3">
      <c r="A74" s="15" t="s">
        <v>212</v>
      </c>
      <c r="B74" s="26">
        <v>30000</v>
      </c>
    </row>
    <row r="75" spans="1:2" x14ac:dyDescent="0.3">
      <c r="A75" s="16" t="s">
        <v>359</v>
      </c>
      <c r="B75" s="27">
        <v>30000</v>
      </c>
    </row>
    <row r="76" spans="1:2" x14ac:dyDescent="0.3">
      <c r="A76" s="15" t="s">
        <v>273</v>
      </c>
      <c r="B76" s="26">
        <v>28000</v>
      </c>
    </row>
    <row r="77" spans="1:2" x14ac:dyDescent="0.3">
      <c r="A77" s="16" t="s">
        <v>323</v>
      </c>
      <c r="B77" s="27">
        <v>27000</v>
      </c>
    </row>
    <row r="78" spans="1:2" x14ac:dyDescent="0.3">
      <c r="A78" s="15" t="s">
        <v>317</v>
      </c>
      <c r="B78" s="26">
        <v>26000</v>
      </c>
    </row>
    <row r="79" spans="1:2" x14ac:dyDescent="0.3">
      <c r="A79" s="16" t="s">
        <v>9</v>
      </c>
      <c r="B79" s="27">
        <v>25000</v>
      </c>
    </row>
    <row r="80" spans="1:2" x14ac:dyDescent="0.3">
      <c r="A80" s="15" t="s">
        <v>79</v>
      </c>
      <c r="B80" s="26">
        <v>25000</v>
      </c>
    </row>
    <row r="81" spans="1:2" x14ac:dyDescent="0.3">
      <c r="A81" s="16" t="s">
        <v>167</v>
      </c>
      <c r="B81" s="27">
        <v>25000</v>
      </c>
    </row>
    <row r="82" spans="1:2" x14ac:dyDescent="0.3">
      <c r="A82" s="15" t="s">
        <v>253</v>
      </c>
      <c r="B82" s="26">
        <v>25000</v>
      </c>
    </row>
    <row r="83" spans="1:2" x14ac:dyDescent="0.3">
      <c r="A83" s="16" t="s">
        <v>406</v>
      </c>
      <c r="B83" s="27">
        <v>25000</v>
      </c>
    </row>
    <row r="84" spans="1:2" x14ac:dyDescent="0.3">
      <c r="A84" s="15" t="s">
        <v>141</v>
      </c>
      <c r="B84" s="26">
        <v>23000</v>
      </c>
    </row>
    <row r="85" spans="1:2" x14ac:dyDescent="0.3">
      <c r="A85" s="16" t="s">
        <v>138</v>
      </c>
      <c r="B85" s="27">
        <v>22500</v>
      </c>
    </row>
    <row r="86" spans="1:2" x14ac:dyDescent="0.3">
      <c r="A86" s="15" t="s">
        <v>155</v>
      </c>
      <c r="B86" s="26">
        <v>22500</v>
      </c>
    </row>
    <row r="87" spans="1:2" x14ac:dyDescent="0.3">
      <c r="A87" s="16" t="s">
        <v>162</v>
      </c>
      <c r="B87" s="27">
        <v>22500</v>
      </c>
    </row>
    <row r="88" spans="1:2" x14ac:dyDescent="0.3">
      <c r="A88" s="15" t="s">
        <v>326</v>
      </c>
      <c r="B88" s="26">
        <v>22500</v>
      </c>
    </row>
    <row r="89" spans="1:2" x14ac:dyDescent="0.3">
      <c r="A89" s="16" t="s">
        <v>330</v>
      </c>
      <c r="B89" s="27">
        <v>22500</v>
      </c>
    </row>
    <row r="90" spans="1:2" x14ac:dyDescent="0.3">
      <c r="A90" s="15" t="s">
        <v>16</v>
      </c>
      <c r="B90" s="26">
        <v>20000</v>
      </c>
    </row>
    <row r="91" spans="1:2" x14ac:dyDescent="0.3">
      <c r="A91" s="16" t="s">
        <v>84</v>
      </c>
      <c r="B91" s="27">
        <v>20000</v>
      </c>
    </row>
    <row r="92" spans="1:2" x14ac:dyDescent="0.3">
      <c r="A92" s="15" t="s">
        <v>158</v>
      </c>
      <c r="B92" s="26">
        <v>20000</v>
      </c>
    </row>
    <row r="93" spans="1:2" x14ac:dyDescent="0.3">
      <c r="A93" s="16" t="s">
        <v>180</v>
      </c>
      <c r="B93" s="27">
        <v>20000</v>
      </c>
    </row>
    <row r="94" spans="1:2" x14ac:dyDescent="0.3">
      <c r="A94" s="15" t="s">
        <v>255</v>
      </c>
      <c r="B94" s="26">
        <v>18500</v>
      </c>
    </row>
    <row r="95" spans="1:2" x14ac:dyDescent="0.3">
      <c r="A95" s="16" t="s">
        <v>268</v>
      </c>
      <c r="B95" s="27">
        <v>18500</v>
      </c>
    </row>
    <row r="96" spans="1:2" x14ac:dyDescent="0.3">
      <c r="A96" s="15" t="s">
        <v>297</v>
      </c>
      <c r="B96" s="26">
        <v>18500</v>
      </c>
    </row>
    <row r="97" spans="1:2" x14ac:dyDescent="0.3">
      <c r="A97" s="16" t="s">
        <v>106</v>
      </c>
      <c r="B97" s="27">
        <v>17500</v>
      </c>
    </row>
    <row r="98" spans="1:2" x14ac:dyDescent="0.3">
      <c r="A98" s="15" t="s">
        <v>307</v>
      </c>
      <c r="B98" s="26">
        <v>15500</v>
      </c>
    </row>
    <row r="99" spans="1:2" x14ac:dyDescent="0.3">
      <c r="A99" s="16" t="s">
        <v>340</v>
      </c>
      <c r="B99" s="27">
        <v>15500</v>
      </c>
    </row>
    <row r="100" spans="1:2" x14ac:dyDescent="0.3">
      <c r="A100" s="15" t="s">
        <v>343</v>
      </c>
      <c r="B100" s="26">
        <v>15500</v>
      </c>
    </row>
    <row r="101" spans="1:2" x14ac:dyDescent="0.3">
      <c r="A101" s="16" t="s">
        <v>348</v>
      </c>
      <c r="B101" s="27">
        <v>15500</v>
      </c>
    </row>
    <row r="102" spans="1:2" x14ac:dyDescent="0.3">
      <c r="A102" s="15" t="s">
        <v>349</v>
      </c>
      <c r="B102" s="26">
        <v>15500</v>
      </c>
    </row>
    <row r="103" spans="1:2" x14ac:dyDescent="0.3">
      <c r="A103" s="16" t="s">
        <v>352</v>
      </c>
      <c r="B103" s="27">
        <v>15500</v>
      </c>
    </row>
    <row r="104" spans="1:2" x14ac:dyDescent="0.3">
      <c r="A104" s="15" t="s">
        <v>305</v>
      </c>
      <c r="B104" s="26">
        <v>13000</v>
      </c>
    </row>
    <row r="105" spans="1:2" x14ac:dyDescent="0.3">
      <c r="A105" s="16" t="s">
        <v>332</v>
      </c>
      <c r="B105" s="27">
        <v>13000</v>
      </c>
    </row>
    <row r="106" spans="1:2" x14ac:dyDescent="0.3">
      <c r="A106" s="15" t="s">
        <v>44</v>
      </c>
      <c r="B106" s="26">
        <v>12000</v>
      </c>
    </row>
    <row r="107" spans="1:2" x14ac:dyDescent="0.3">
      <c r="A107" s="16" t="s">
        <v>41</v>
      </c>
      <c r="B107" s="27">
        <v>11500</v>
      </c>
    </row>
    <row r="108" spans="1:2" x14ac:dyDescent="0.3">
      <c r="A108" s="15" t="s">
        <v>202</v>
      </c>
      <c r="B108" s="26">
        <v>10500</v>
      </c>
    </row>
    <row r="109" spans="1:2" x14ac:dyDescent="0.3">
      <c r="A109" s="16" t="s">
        <v>21</v>
      </c>
      <c r="B109" s="27">
        <v>9500</v>
      </c>
    </row>
    <row r="110" spans="1:2" x14ac:dyDescent="0.3">
      <c r="A110" s="15" t="s">
        <v>309</v>
      </c>
      <c r="B110" s="26">
        <v>7000</v>
      </c>
    </row>
  </sheetData>
  <pageMargins left="0.7" right="0.7" top="0.75" bottom="0.75" header="0.3" footer="0.3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9F83-D2A2-4AB0-B04A-288BE7BFC6C6}">
  <sheetPr>
    <tabColor rgb="FF7030A0"/>
  </sheetPr>
  <dimension ref="A1:AS35"/>
  <sheetViews>
    <sheetView showGridLines="0" topLeftCell="A11" zoomScaleNormal="100" workbookViewId="0">
      <selection activeCell="F28" sqref="F28"/>
    </sheetView>
  </sheetViews>
  <sheetFormatPr defaultRowHeight="14.4" x14ac:dyDescent="0.3"/>
  <cols>
    <col min="1" max="1" width="9.5546875" bestFit="1" customWidth="1"/>
    <col min="2" max="2" width="19.109375" bestFit="1" customWidth="1"/>
    <col min="3" max="3" width="8.21875" customWidth="1"/>
    <col min="4" max="4" width="8.77734375" customWidth="1"/>
    <col min="5" max="5" width="11.5546875" customWidth="1"/>
    <col min="6" max="6" width="42.6640625" bestFit="1" customWidth="1"/>
    <col min="7" max="7" width="19.109375" bestFit="1" customWidth="1"/>
    <col min="8" max="8" width="17.33203125" customWidth="1"/>
    <col min="9" max="9" width="16.109375" customWidth="1"/>
    <col min="10" max="10" width="42.6640625" bestFit="1" customWidth="1"/>
    <col min="11" max="11" width="11.5546875" bestFit="1" customWidth="1"/>
    <col min="16" max="16" width="11" bestFit="1" customWidth="1"/>
    <col min="17" max="18" width="16.6640625" bestFit="1" customWidth="1"/>
    <col min="19" max="19" width="12" bestFit="1" customWidth="1"/>
    <col min="20" max="20" width="17.77734375" bestFit="1" customWidth="1"/>
    <col min="29" max="29" width="42.6640625" bestFit="1" customWidth="1"/>
    <col min="30" max="30" width="19.109375" bestFit="1" customWidth="1"/>
    <col min="31" max="31" width="11.5546875" bestFit="1" customWidth="1"/>
    <col min="35" max="35" width="9.21875" customWidth="1"/>
    <col min="36" max="36" width="10" customWidth="1"/>
    <col min="37" max="37" width="9.88671875" customWidth="1"/>
    <col min="38" max="38" width="12.77734375" customWidth="1"/>
    <col min="39" max="39" width="10.6640625" customWidth="1"/>
    <col min="44" max="44" width="17.6640625" bestFit="1" customWidth="1"/>
    <col min="45" max="45" width="12.77734375" bestFit="1" customWidth="1"/>
  </cols>
  <sheetData>
    <row r="1" spans="1:45" ht="18" x14ac:dyDescent="0.35">
      <c r="A1" s="42" t="s">
        <v>416</v>
      </c>
      <c r="B1" s="42"/>
      <c r="C1" s="24"/>
      <c r="D1" s="22"/>
      <c r="E1" s="22"/>
      <c r="F1" s="42" t="s">
        <v>417</v>
      </c>
      <c r="G1" s="42"/>
      <c r="H1" s="42"/>
      <c r="I1" s="42"/>
      <c r="J1" s="42"/>
      <c r="K1" s="42"/>
      <c r="L1" s="24"/>
      <c r="M1" s="24"/>
      <c r="N1" s="24"/>
      <c r="O1" s="24"/>
      <c r="P1" s="42" t="s">
        <v>443</v>
      </c>
      <c r="Q1" s="42"/>
      <c r="R1" s="42"/>
      <c r="S1" s="42"/>
      <c r="T1" s="42"/>
      <c r="U1" s="24"/>
      <c r="V1" s="24"/>
    </row>
    <row r="2" spans="1:45" x14ac:dyDescent="0.3">
      <c r="AI2" s="23" t="s">
        <v>450</v>
      </c>
      <c r="AJ2" s="23" t="s">
        <v>451</v>
      </c>
      <c r="AK2" s="23" t="s">
        <v>452</v>
      </c>
      <c r="AL2" s="23" t="s">
        <v>453</v>
      </c>
      <c r="AM2" s="23" t="s">
        <v>454</v>
      </c>
      <c r="AN2" s="23" t="s">
        <v>455</v>
      </c>
    </row>
    <row r="3" spans="1:45" ht="15.6" x14ac:dyDescent="0.35">
      <c r="A3" s="25" t="s">
        <v>415</v>
      </c>
      <c r="F3" s="25" t="s">
        <v>415</v>
      </c>
      <c r="J3" s="25" t="s">
        <v>415</v>
      </c>
      <c r="P3" s="25" t="s">
        <v>415</v>
      </c>
      <c r="S3" s="25" t="s">
        <v>411</v>
      </c>
      <c r="AI3">
        <v>61000</v>
      </c>
      <c r="AJ3">
        <v>96500</v>
      </c>
      <c r="AK3">
        <v>84000</v>
      </c>
      <c r="AL3">
        <v>119000</v>
      </c>
      <c r="AN3">
        <v>307500</v>
      </c>
    </row>
    <row r="4" spans="1:45" x14ac:dyDescent="0.3">
      <c r="A4" s="23" t="s">
        <v>414</v>
      </c>
      <c r="B4" s="23" t="s">
        <v>413</v>
      </c>
      <c r="F4" s="23" t="s">
        <v>418</v>
      </c>
      <c r="G4" s="23" t="s">
        <v>413</v>
      </c>
      <c r="J4" s="23" t="s">
        <v>418</v>
      </c>
      <c r="K4" s="23" t="s">
        <v>420</v>
      </c>
      <c r="P4" s="23" t="s">
        <v>441</v>
      </c>
      <c r="Q4" s="23" t="s">
        <v>444</v>
      </c>
      <c r="S4" s="23" t="s">
        <v>445</v>
      </c>
      <c r="T4" s="23" t="s">
        <v>446</v>
      </c>
      <c r="AI4">
        <v>281500</v>
      </c>
      <c r="AJ4">
        <v>713000</v>
      </c>
      <c r="AK4">
        <v>92500</v>
      </c>
      <c r="AL4">
        <v>174500</v>
      </c>
      <c r="AN4">
        <v>172000</v>
      </c>
    </row>
    <row r="5" spans="1:45" x14ac:dyDescent="0.3">
      <c r="A5" s="20" t="s">
        <v>39</v>
      </c>
      <c r="B5" s="21">
        <v>8</v>
      </c>
      <c r="F5" s="20" t="s">
        <v>170</v>
      </c>
      <c r="G5" s="21">
        <v>5</v>
      </c>
      <c r="J5" s="20" t="s">
        <v>419</v>
      </c>
      <c r="K5" s="8">
        <v>840000</v>
      </c>
      <c r="P5" s="20" t="s">
        <v>428</v>
      </c>
      <c r="Q5" s="21">
        <v>29</v>
      </c>
      <c r="S5" s="20">
        <v>33</v>
      </c>
      <c r="T5" s="21">
        <v>7</v>
      </c>
      <c r="AI5">
        <v>197000</v>
      </c>
      <c r="AJ5">
        <v>131000</v>
      </c>
      <c r="AK5">
        <v>152000</v>
      </c>
      <c r="AL5">
        <v>70000</v>
      </c>
      <c r="AN5">
        <v>135000</v>
      </c>
    </row>
    <row r="6" spans="1:45" x14ac:dyDescent="0.3">
      <c r="A6" s="20" t="s">
        <v>48</v>
      </c>
      <c r="B6" s="21">
        <v>8</v>
      </c>
      <c r="F6" s="20" t="s">
        <v>190</v>
      </c>
      <c r="G6" s="21">
        <v>5</v>
      </c>
      <c r="J6" s="20" t="s">
        <v>269</v>
      </c>
      <c r="K6" s="8">
        <v>240500</v>
      </c>
      <c r="P6" s="20" t="s">
        <v>424</v>
      </c>
      <c r="Q6" s="21">
        <v>28</v>
      </c>
      <c r="S6" s="20">
        <v>35</v>
      </c>
      <c r="T6" s="21">
        <v>4</v>
      </c>
      <c r="AC6" s="19" t="s">
        <v>412</v>
      </c>
      <c r="AD6" t="s">
        <v>413</v>
      </c>
      <c r="AE6" s="8" t="s">
        <v>420</v>
      </c>
      <c r="AI6">
        <v>169000</v>
      </c>
      <c r="AJ6">
        <v>250000</v>
      </c>
      <c r="AK6">
        <v>10000</v>
      </c>
      <c r="AL6">
        <v>34500</v>
      </c>
      <c r="AN6">
        <v>35000</v>
      </c>
    </row>
    <row r="7" spans="1:45" x14ac:dyDescent="0.3">
      <c r="A7" s="20" t="s">
        <v>14</v>
      </c>
      <c r="B7" s="21">
        <v>11</v>
      </c>
      <c r="F7" s="20" t="s">
        <v>99</v>
      </c>
      <c r="G7" s="21">
        <v>5</v>
      </c>
      <c r="J7" s="20" t="s">
        <v>91</v>
      </c>
      <c r="K7" s="8">
        <v>175000</v>
      </c>
      <c r="P7" s="20" t="s">
        <v>431</v>
      </c>
      <c r="Q7" s="21">
        <v>27</v>
      </c>
      <c r="S7" s="20">
        <v>39</v>
      </c>
      <c r="T7" s="21">
        <v>3</v>
      </c>
      <c r="AC7" s="20" t="s">
        <v>419</v>
      </c>
      <c r="AD7" s="21">
        <v>28</v>
      </c>
      <c r="AE7" s="8">
        <v>840000</v>
      </c>
      <c r="AI7">
        <v>584500</v>
      </c>
      <c r="AJ7">
        <v>128000</v>
      </c>
    </row>
    <row r="8" spans="1:45" x14ac:dyDescent="0.3">
      <c r="A8" s="20" t="s">
        <v>38</v>
      </c>
      <c r="B8" s="21">
        <v>12</v>
      </c>
      <c r="F8" s="20" t="s">
        <v>311</v>
      </c>
      <c r="G8" s="21">
        <v>5</v>
      </c>
      <c r="J8" s="20" t="s">
        <v>245</v>
      </c>
      <c r="K8" s="8">
        <v>140000</v>
      </c>
      <c r="P8" s="20" t="s">
        <v>427</v>
      </c>
      <c r="Q8" s="21">
        <v>25</v>
      </c>
      <c r="S8" s="20">
        <v>28</v>
      </c>
      <c r="T8" s="21">
        <v>3</v>
      </c>
      <c r="AC8" s="20" t="s">
        <v>269</v>
      </c>
      <c r="AD8" s="21">
        <v>13</v>
      </c>
      <c r="AE8" s="8">
        <v>240500</v>
      </c>
      <c r="AI8">
        <v>120000</v>
      </c>
      <c r="AJ8">
        <v>153000</v>
      </c>
    </row>
    <row r="9" spans="1:45" x14ac:dyDescent="0.3">
      <c r="A9" s="20" t="s">
        <v>28</v>
      </c>
      <c r="B9" s="21">
        <v>14</v>
      </c>
      <c r="F9" s="20" t="s">
        <v>337</v>
      </c>
      <c r="G9" s="21">
        <v>5</v>
      </c>
      <c r="J9" s="20" t="s">
        <v>101</v>
      </c>
      <c r="K9" s="8">
        <v>135000</v>
      </c>
      <c r="P9" s="20" t="s">
        <v>432</v>
      </c>
      <c r="Q9" s="21">
        <v>25</v>
      </c>
      <c r="S9" s="20">
        <v>34</v>
      </c>
      <c r="T9" s="21">
        <v>3</v>
      </c>
      <c r="AC9" s="20" t="s">
        <v>91</v>
      </c>
      <c r="AD9" s="21">
        <v>5</v>
      </c>
      <c r="AE9" s="8">
        <v>175000</v>
      </c>
      <c r="AI9">
        <v>19000</v>
      </c>
      <c r="AJ9">
        <v>125000</v>
      </c>
    </row>
    <row r="10" spans="1:45" x14ac:dyDescent="0.3">
      <c r="A10" s="20" t="s">
        <v>94</v>
      </c>
      <c r="B10" s="21">
        <v>19</v>
      </c>
      <c r="F10" s="20" t="s">
        <v>150</v>
      </c>
      <c r="G10" s="21">
        <v>5</v>
      </c>
      <c r="J10" s="20" t="s">
        <v>99</v>
      </c>
      <c r="K10" s="8">
        <v>125000</v>
      </c>
      <c r="P10" s="20" t="s">
        <v>423</v>
      </c>
      <c r="Q10" s="21">
        <v>25</v>
      </c>
      <c r="S10" s="20">
        <v>32</v>
      </c>
      <c r="T10" s="21">
        <v>2</v>
      </c>
      <c r="AC10" s="20" t="s">
        <v>245</v>
      </c>
      <c r="AD10" s="21">
        <v>7</v>
      </c>
      <c r="AE10" s="8">
        <v>140000</v>
      </c>
      <c r="AI10">
        <v>30500</v>
      </c>
      <c r="AJ10">
        <v>53500</v>
      </c>
    </row>
    <row r="11" spans="1:45" x14ac:dyDescent="0.3">
      <c r="A11" s="20" t="s">
        <v>13</v>
      </c>
      <c r="B11" s="21">
        <v>21</v>
      </c>
      <c r="F11" s="20" t="s">
        <v>288</v>
      </c>
      <c r="G11" s="21">
        <v>5</v>
      </c>
      <c r="J11" s="20" t="s">
        <v>337</v>
      </c>
      <c r="K11" s="8">
        <v>125000</v>
      </c>
      <c r="P11" s="20" t="s">
        <v>429</v>
      </c>
      <c r="Q11" s="21">
        <v>19</v>
      </c>
      <c r="S11" s="20">
        <v>29</v>
      </c>
      <c r="T11" s="21">
        <v>2</v>
      </c>
      <c r="AC11" s="20" t="s">
        <v>101</v>
      </c>
      <c r="AD11" s="21">
        <v>3</v>
      </c>
      <c r="AE11" s="8">
        <v>135000</v>
      </c>
      <c r="AI11">
        <v>356000</v>
      </c>
      <c r="AJ11">
        <v>75000</v>
      </c>
    </row>
    <row r="12" spans="1:45" x14ac:dyDescent="0.3">
      <c r="A12" s="20" t="s">
        <v>104</v>
      </c>
      <c r="B12" s="21">
        <v>25</v>
      </c>
      <c r="F12" s="20" t="s">
        <v>91</v>
      </c>
      <c r="G12" s="21">
        <v>5</v>
      </c>
      <c r="J12" s="20" t="s">
        <v>266</v>
      </c>
      <c r="K12" s="8">
        <v>120000</v>
      </c>
      <c r="S12" s="20">
        <v>37</v>
      </c>
      <c r="T12" s="21">
        <v>2</v>
      </c>
      <c r="AC12" s="20" t="s">
        <v>99</v>
      </c>
      <c r="AD12" s="21">
        <v>5</v>
      </c>
      <c r="AE12" s="8">
        <v>125000</v>
      </c>
      <c r="AI12">
        <v>73500</v>
      </c>
    </row>
    <row r="13" spans="1:45" x14ac:dyDescent="0.3">
      <c r="F13" s="20" t="s">
        <v>280</v>
      </c>
      <c r="G13" s="21">
        <v>5</v>
      </c>
      <c r="J13" s="20" t="s">
        <v>170</v>
      </c>
      <c r="K13" s="8">
        <v>112500</v>
      </c>
      <c r="AC13" s="20" t="s">
        <v>337</v>
      </c>
      <c r="AD13" s="21">
        <v>5</v>
      </c>
      <c r="AE13" s="8">
        <v>125000</v>
      </c>
      <c r="AI13">
        <v>128000</v>
      </c>
      <c r="AR13" s="38" t="s">
        <v>456</v>
      </c>
      <c r="AS13" s="38" t="s">
        <v>457</v>
      </c>
    </row>
    <row r="14" spans="1:45" x14ac:dyDescent="0.3">
      <c r="F14" s="20" t="s">
        <v>11</v>
      </c>
      <c r="G14" s="21">
        <v>5</v>
      </c>
      <c r="J14" s="20" t="s">
        <v>150</v>
      </c>
      <c r="K14" s="8">
        <v>112500</v>
      </c>
      <c r="AC14" s="20" t="s">
        <v>266</v>
      </c>
      <c r="AD14" s="21">
        <v>6</v>
      </c>
      <c r="AE14" s="8">
        <v>120000</v>
      </c>
      <c r="AI14">
        <v>85000</v>
      </c>
      <c r="AR14" s="37" t="s">
        <v>458</v>
      </c>
      <c r="AS14" s="39">
        <v>3557500</v>
      </c>
    </row>
    <row r="15" spans="1:45" x14ac:dyDescent="0.3">
      <c r="F15" s="20" t="s">
        <v>266</v>
      </c>
      <c r="G15" s="21">
        <v>6</v>
      </c>
      <c r="AC15" s="20" t="s">
        <v>150</v>
      </c>
      <c r="AD15" s="21">
        <v>5</v>
      </c>
      <c r="AE15" s="8">
        <v>112500</v>
      </c>
      <c r="AI15">
        <v>65000</v>
      </c>
      <c r="AR15" s="36" t="s">
        <v>459</v>
      </c>
      <c r="AS15" s="40">
        <v>1725000</v>
      </c>
    </row>
    <row r="16" spans="1:45" x14ac:dyDescent="0.3">
      <c r="F16" s="20" t="s">
        <v>245</v>
      </c>
      <c r="G16" s="21">
        <v>7</v>
      </c>
      <c r="AC16" s="20" t="s">
        <v>170</v>
      </c>
      <c r="AD16" s="21">
        <v>5</v>
      </c>
      <c r="AE16" s="8">
        <v>112500</v>
      </c>
      <c r="AI16">
        <v>147500</v>
      </c>
      <c r="AR16" s="37" t="s">
        <v>460</v>
      </c>
      <c r="AS16" s="39">
        <v>338500</v>
      </c>
    </row>
    <row r="17" spans="1:45" ht="15.6" x14ac:dyDescent="0.35">
      <c r="A17" s="25" t="s">
        <v>411</v>
      </c>
      <c r="F17" s="20" t="s">
        <v>35</v>
      </c>
      <c r="G17" s="21">
        <v>7</v>
      </c>
      <c r="AC17" s="20" t="s">
        <v>95</v>
      </c>
      <c r="AD17" s="21">
        <v>3</v>
      </c>
      <c r="AE17" s="8">
        <v>105000</v>
      </c>
      <c r="AI17">
        <v>65000</v>
      </c>
      <c r="AR17" s="36" t="s">
        <v>461</v>
      </c>
      <c r="AS17" s="40">
        <v>398000</v>
      </c>
    </row>
    <row r="18" spans="1:45" x14ac:dyDescent="0.3">
      <c r="A18" s="23" t="s">
        <v>414</v>
      </c>
      <c r="B18" s="23" t="s">
        <v>413</v>
      </c>
      <c r="F18" s="20" t="s">
        <v>203</v>
      </c>
      <c r="G18" s="21">
        <v>9</v>
      </c>
      <c r="AC18" s="20" t="s">
        <v>81</v>
      </c>
      <c r="AD18" s="21">
        <v>4</v>
      </c>
      <c r="AE18" s="8">
        <v>100000</v>
      </c>
      <c r="AI18">
        <v>170000</v>
      </c>
      <c r="AR18" s="37" t="s">
        <v>462</v>
      </c>
      <c r="AS18" s="39">
        <v>30000</v>
      </c>
    </row>
    <row r="19" spans="1:45" x14ac:dyDescent="0.3">
      <c r="A19" s="20" t="s">
        <v>13</v>
      </c>
      <c r="B19" s="21">
        <v>3</v>
      </c>
      <c r="F19" s="20" t="s">
        <v>269</v>
      </c>
      <c r="G19" s="21">
        <v>13</v>
      </c>
      <c r="AC19" s="20" t="s">
        <v>214</v>
      </c>
      <c r="AD19" s="21">
        <v>4</v>
      </c>
      <c r="AE19" s="8">
        <v>100000</v>
      </c>
      <c r="AI19">
        <v>95000</v>
      </c>
      <c r="AR19" s="36" t="s">
        <v>463</v>
      </c>
      <c r="AS19" s="40">
        <v>649500</v>
      </c>
    </row>
    <row r="20" spans="1:45" x14ac:dyDescent="0.3">
      <c r="A20" s="20" t="s">
        <v>152</v>
      </c>
      <c r="B20" s="21">
        <v>4</v>
      </c>
      <c r="F20" s="20" t="s">
        <v>419</v>
      </c>
      <c r="G20" s="21">
        <v>28</v>
      </c>
      <c r="AI20">
        <v>90000</v>
      </c>
    </row>
    <row r="21" spans="1:45" x14ac:dyDescent="0.3">
      <c r="A21" s="20" t="s">
        <v>388</v>
      </c>
      <c r="B21" s="21">
        <v>4</v>
      </c>
      <c r="AI21">
        <v>64500</v>
      </c>
      <c r="AS21" s="8">
        <f>SUM(Table23[Revenue])</f>
        <v>6698500</v>
      </c>
    </row>
    <row r="22" spans="1:45" x14ac:dyDescent="0.3">
      <c r="A22" s="20" t="s">
        <v>104</v>
      </c>
      <c r="B22" s="21">
        <v>5</v>
      </c>
      <c r="AI22">
        <v>10500</v>
      </c>
    </row>
    <row r="23" spans="1:45" x14ac:dyDescent="0.3">
      <c r="A23" s="20" t="s">
        <v>14</v>
      </c>
      <c r="B23" s="21">
        <v>6</v>
      </c>
      <c r="AI23">
        <v>101500</v>
      </c>
    </row>
    <row r="24" spans="1:45" x14ac:dyDescent="0.3">
      <c r="AI24">
        <v>81000</v>
      </c>
    </row>
    <row r="25" spans="1:45" x14ac:dyDescent="0.3">
      <c r="AI25">
        <v>76000</v>
      </c>
    </row>
    <row r="26" spans="1:45" x14ac:dyDescent="0.3">
      <c r="AI26">
        <v>57500</v>
      </c>
    </row>
    <row r="27" spans="1:45" ht="15.6" x14ac:dyDescent="0.35">
      <c r="F27" s="25" t="s">
        <v>411</v>
      </c>
      <c r="J27" s="25" t="s">
        <v>411</v>
      </c>
      <c r="AI27">
        <v>114000</v>
      </c>
    </row>
    <row r="28" spans="1:45" x14ac:dyDescent="0.3">
      <c r="F28" s="23" t="s">
        <v>418</v>
      </c>
      <c r="G28" s="23" t="s">
        <v>413</v>
      </c>
      <c r="J28" s="23" t="s">
        <v>418</v>
      </c>
      <c r="K28" s="23" t="s">
        <v>420</v>
      </c>
      <c r="P28" s="23" t="s">
        <v>447</v>
      </c>
      <c r="Q28" s="23" t="s">
        <v>448</v>
      </c>
      <c r="AI28">
        <v>115500</v>
      </c>
    </row>
    <row r="29" spans="1:45" x14ac:dyDescent="0.3">
      <c r="F29" s="20" t="s">
        <v>392</v>
      </c>
      <c r="G29" s="21">
        <v>15</v>
      </c>
      <c r="J29" s="20" t="s">
        <v>392</v>
      </c>
      <c r="K29" s="8">
        <v>490000</v>
      </c>
      <c r="P29" s="20" t="s">
        <v>196</v>
      </c>
      <c r="Q29" s="21">
        <v>10</v>
      </c>
      <c r="AI29">
        <v>199500</v>
      </c>
    </row>
    <row r="30" spans="1:45" x14ac:dyDescent="0.3">
      <c r="F30" s="20" t="s">
        <v>399</v>
      </c>
      <c r="G30" s="21">
        <v>6</v>
      </c>
      <c r="J30" s="20" t="s">
        <v>399</v>
      </c>
      <c r="K30" s="8">
        <v>180000</v>
      </c>
      <c r="P30" s="20" t="s">
        <v>421</v>
      </c>
      <c r="Q30" s="21">
        <v>4</v>
      </c>
    </row>
    <row r="31" spans="1:45" x14ac:dyDescent="0.3">
      <c r="F31" s="20" t="s">
        <v>386</v>
      </c>
      <c r="G31" s="21">
        <v>4</v>
      </c>
      <c r="J31" s="20" t="s">
        <v>386</v>
      </c>
      <c r="K31" s="8">
        <v>100000</v>
      </c>
      <c r="P31" s="20" t="s">
        <v>197</v>
      </c>
      <c r="Q31" s="21">
        <v>3</v>
      </c>
      <c r="AL31">
        <f>SUM(AL2:AL28)</f>
        <v>398000</v>
      </c>
      <c r="AN31">
        <f>SUM(AN2:AN28)</f>
        <v>649500</v>
      </c>
    </row>
    <row r="32" spans="1:45" x14ac:dyDescent="0.3">
      <c r="F32" s="20" t="s">
        <v>383</v>
      </c>
      <c r="G32" s="21">
        <v>2</v>
      </c>
      <c r="J32" s="20" t="s">
        <v>400</v>
      </c>
      <c r="K32" s="8">
        <v>60000</v>
      </c>
      <c r="P32" s="20" t="s">
        <v>422</v>
      </c>
      <c r="Q32" s="21">
        <v>2</v>
      </c>
      <c r="AI32">
        <f>SUM(AI3:AI29)</f>
        <v>3557500</v>
      </c>
      <c r="AJ32">
        <f>SUM(AJ3:AJ29)</f>
        <v>1725000</v>
      </c>
      <c r="AK32">
        <f>SUM(AK3:AK29)</f>
        <v>338500</v>
      </c>
    </row>
    <row r="33" spans="6:11" x14ac:dyDescent="0.3">
      <c r="F33" s="20" t="s">
        <v>400</v>
      </c>
      <c r="G33" s="21">
        <v>2</v>
      </c>
      <c r="J33" s="20" t="s">
        <v>378</v>
      </c>
      <c r="K33" s="8">
        <v>54000</v>
      </c>
    </row>
    <row r="34" spans="6:11" x14ac:dyDescent="0.3">
      <c r="F34" s="20" t="s">
        <v>361</v>
      </c>
      <c r="G34" s="21">
        <v>2</v>
      </c>
      <c r="J34" s="20" t="s">
        <v>383</v>
      </c>
      <c r="K34" s="8">
        <v>42000</v>
      </c>
    </row>
    <row r="35" spans="6:11" x14ac:dyDescent="0.3">
      <c r="F35" s="20" t="s">
        <v>378</v>
      </c>
      <c r="G35" s="21">
        <v>2</v>
      </c>
      <c r="J35" s="20" t="s">
        <v>361</v>
      </c>
      <c r="K35" s="8">
        <v>37000</v>
      </c>
    </row>
  </sheetData>
  <mergeCells count="3">
    <mergeCell ref="F1:K1"/>
    <mergeCell ref="P1:T1"/>
    <mergeCell ref="A1:B1"/>
  </mergeCells>
  <pageMargins left="0.7" right="0.7" top="0.75" bottom="0.75" header="0.3" footer="0.3"/>
  <pageSetup orientation="portrait" r:id="rId11"/>
  <tableParts count="2">
    <tablePart r:id="rId12"/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DAA2-846D-403A-BF08-8578B7435CD5}">
  <sheetPr>
    <tabColor rgb="FFCC00FF"/>
  </sheetPr>
  <dimension ref="A18:A22"/>
  <sheetViews>
    <sheetView showGridLines="0" tabSelected="1" zoomScale="90" zoomScaleNormal="90" workbookViewId="0">
      <selection activeCell="K23" sqref="K23"/>
    </sheetView>
  </sheetViews>
  <sheetFormatPr defaultRowHeight="14.4" x14ac:dyDescent="0.3"/>
  <cols>
    <col min="1" max="22" width="8.88671875" style="41"/>
    <col min="23" max="23" width="8.88671875" style="41" customWidth="1"/>
    <col min="24" max="24" width="3.6640625" style="41" customWidth="1"/>
    <col min="25" max="34" width="8.88671875" style="41" customWidth="1"/>
    <col min="35" max="16384" width="8.88671875" style="41"/>
  </cols>
  <sheetData>
    <row r="18" s="41" customFormat="1" x14ac:dyDescent="0.3"/>
    <row r="22" s="41" customFormat="1" x14ac:dyDescent="0.3"/>
  </sheetData>
  <printOptions horizontalCentered="1" verticalCentered="1"/>
  <pageMargins left="0" right="0" top="0" bottom="0" header="0" footer="0"/>
  <pageSetup paperSize="3" orientation="landscape" r:id="rId1"/>
  <headerFooter scaleWithDoc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Sheet14</vt:lpstr>
      <vt:lpstr>Analysis</vt:lpstr>
      <vt:lpstr>Explanatory Dashboard</vt:lpstr>
      <vt:lpstr>'Explanatory Dashboard'!Print_Area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Okonkwo</dc:creator>
  <cp:lastModifiedBy>Henry Okonkwo</cp:lastModifiedBy>
  <cp:lastPrinted>2024-11-13T15:05:25Z</cp:lastPrinted>
  <dcterms:created xsi:type="dcterms:W3CDTF">2024-10-20T22:47:09Z</dcterms:created>
  <dcterms:modified xsi:type="dcterms:W3CDTF">2024-12-17T15:35:21Z</dcterms:modified>
</cp:coreProperties>
</file>